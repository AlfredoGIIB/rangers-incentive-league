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Pitchers!$A$3:$R$35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<sst xmlns="http://schemas.openxmlformats.org/spreadsheetml/2006/main" count="186" uniqueCount="106">
  <si>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</si>
  <si>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</si>
  <si>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</si>
  <si>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</si>
  <si>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</si>
  <si>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</si>
  <si>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</si>
  <si>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6/24/2026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</si>
  <si>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</si>
  <si>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</si>
  <si>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</si>
  <si>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</si>
  <si>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</si>
  <si>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</si>
  <si>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</si>
  <si>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</si>
  <si>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</si>
  <si>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</si>
  <si>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</si>
  <si>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</si>
  <si>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</si>
  <si>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</si>
  <si>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</si>
  <si>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</si>
  <si>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</si>
  <si>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</si>
  <si>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</si>
  <si>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</si>
  <si>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</si>
  <si>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</si>
  <si>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</si>
  <si>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Flores, Jesus</t>
  </si>
  <si>
    <t>B</t>
  </si>
  <si>
    <t>Rodriguez, Alex</t>
  </si>
  <si>
    <t>Guerrero, Oliver</t>
  </si>
  <si>
    <t>Mateo, Cesar</t>
  </si>
  <si>
    <t>Zayas, Saivel</t>
  </si>
  <si>
    <t>Cavero, Braulio</t>
  </si>
  <si>
    <t>Castillo, Wesly</t>
  </si>
  <si>
    <t>Rosario, Elian</t>
  </si>
  <si>
    <t>Diaz, David</t>
  </si>
  <si>
    <t>Ramirez, Santiago</t>
  </si>
  <si>
    <t>Benitez, Frainker</t>
  </si>
  <si>
    <t>Abreu, Ariel</t>
  </si>
  <si>
    <t>Gonzalez, Victor</t>
  </si>
  <si>
    <t>Done, Carlos</t>
  </si>
  <si>
    <t>Valdes, Abel</t>
  </si>
  <si>
    <t>Jaquez, Luis</t>
  </si>
  <si>
    <t>Marcano, Jose</t>
  </si>
  <si>
    <t>Volquez, Fabelin</t>
  </si>
  <si>
    <t>Pinder, Jayln</t>
  </si>
  <si>
    <t>Rodriguez, Victor</t>
  </si>
  <si>
    <t>Alarcon, Rosnel</t>
  </si>
  <si>
    <t>Mosqueda, Juan</t>
  </si>
  <si>
    <t>Pereira, Raul</t>
  </si>
  <si>
    <t>Montero, Darling</t>
  </si>
  <si>
    <t>Chavez, Jesus</t>
  </si>
  <si>
    <t>Genao, Jhostin</t>
  </si>
  <si>
    <t>Santa, Fraimy</t>
  </si>
  <si>
    <t>Ortiz Jr, David</t>
  </si>
  <si>
    <t>Colina, Felix</t>
  </si>
  <si>
    <t>Coronado, Francisco</t>
  </si>
  <si>
    <t>Seminiel, Cristian</t>
  </si>
  <si>
    <t>Cedeno, Luis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</si>
  <si>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</si>
  <si>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</si>
  <si>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</si>
  <si>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</si>
  <si>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</si>
  <si>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</si>
  <si>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</si>
  <si>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</si>
  <si>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</si>
  <si>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</si>
  <si>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</si>
  <si>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</si>
  <si>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Gamez, Manuel</t>
  </si>
  <si>
    <t>Pineda, Frandel</t>
  </si>
  <si>
    <t>Gomez, Manuel</t>
  </si>
  <si>
    <t>Fukuda, Masahiro</t>
  </si>
  <si>
    <t>Encarnacion, Jefferson</t>
  </si>
  <si>
    <t>Dolsi, Frederik</t>
  </si>
  <si>
    <t>Roquez, Yadiel</t>
  </si>
  <si>
    <t>Medina, Juan</t>
  </si>
  <si>
    <t>Santos, Aneudy</t>
  </si>
  <si>
    <t>Lara, Carlos</t>
  </si>
  <si>
    <t>Granado, Argenis</t>
  </si>
  <si>
    <t>Fernandez, Jehiber</t>
  </si>
  <si>
    <t>Pena, Dariel</t>
  </si>
  <si>
    <t>Castillo, Albert</t>
  </si>
  <si>
    <t>Ballesteros, Jean</t>
  </si>
  <si>
    <t>Acosta, Isaac</t>
  </si>
  <si>
    <t>Alcantara, Jostin</t>
  </si>
  <si>
    <t>Cordero, Albert</t>
  </si>
  <si>
    <t>Figuereo, Breyner</t>
  </si>
  <si>
    <t>Lamu, Alex</t>
  </si>
  <si>
    <t>Ramos, Daniel</t>
  </si>
  <si>
    <t>Peralta, Eddy</t>
  </si>
  <si>
    <t>Perez, Juanangel</t>
  </si>
  <si>
    <t>Figuereo, Enmanuel</t>
  </si>
  <si>
    <t>Liriano, Edgar</t>
  </si>
  <si>
    <t>De Jesus, Yunier</t>
  </si>
  <si>
    <t>Medina, Ruben</t>
  </si>
  <si>
    <t>Bautista, Jeyson</t>
  </si>
  <si>
    <t>Fernandez, Harley</t>
  </si>
  <si>
    <t>Gonzalez, Nestor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</si>
</sst>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8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0" fontId="8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30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1" fillId="2" fontId="11" numFmtId="0" xfId="0" applyAlignment="1" applyBorder="1" applyFont="1">
      <alignment horizontal="center" readingOrder="0" vertical="center"/>
    </xf>
    <xf borderId="32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3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4" fillId="0" fontId="4" numFmtId="0" xfId="0" applyAlignment="1" applyBorder="1" applyFont="1">
      <alignment horizontal="center" readingOrder="0" vertical="center"/>
    </xf>
    <xf borderId="34" fillId="0" fontId="9" numFmtId="0" xfId="0" applyAlignment="1" applyBorder="1" applyFont="1">
      <alignment horizontal="center" vertical="center"/>
    </xf>
    <xf borderId="33" fillId="0" fontId="12" numFmtId="0" xfId="0" applyAlignment="1" applyBorder="1" applyFont="1">
      <alignment horizontal="center" readingOrder="0" shrinkToFit="0" vertical="center" wrapText="0"/>
    </xf>
    <xf borderId="33" fillId="6" fontId="8" numFmtId="0" xfId="0" applyAlignment="1" applyBorder="1" applyFont="1">
      <alignment horizontal="center" readingOrder="0" shrinkToFit="0" vertical="center" wrapText="0"/>
    </xf>
    <xf borderId="33" fillId="0" fontId="10" numFmtId="0" xfId="0" applyAlignment="1" applyBorder="1" applyFont="1">
      <alignment horizontal="center" readingOrder="0" shrinkToFit="0" vertical="center" wrapText="0"/>
    </xf>
    <xf borderId="33" fillId="6" fontId="13" numFmtId="0" xfId="0" applyAlignment="1" applyBorder="1" applyFont="1">
      <alignment horizontal="center" readingOrder="0" shrinkToFit="0" vertical="center" wrapText="0"/>
    </xf>
    <xf borderId="33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35" fillId="0" fontId="8" numFmtId="0" xfId="0" applyAlignment="1" applyBorder="1" applyFont="1">
      <alignment horizontal="center" readingOrder="0" shrinkToFit="0" vertical="center" wrapText="0"/>
    </xf>
    <xf borderId="28" fillId="0" fontId="6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7" fillId="0" fontId="4" numFmtId="0" xfId="0" applyAlignment="1" applyBorder="1" applyFont="1">
      <alignment horizontal="center" readingOrder="0" vertical="center"/>
    </xf>
    <xf borderId="37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18.0</v>
      </c>
      <c r="D5" s="40">
        <v>13.0</v>
      </c>
      <c r="E5" s="40">
        <v>8.0</v>
      </c>
      <c r="F5" s="40">
        <v>6.0</v>
      </c>
      <c r="G5" s="40">
        <v>3.0</v>
      </c>
      <c r="H5" s="40">
        <v>0.0</v>
      </c>
      <c r="I5" s="41">
        <v>0.0</v>
      </c>
      <c r="J5" s="39">
        <v>0.0</v>
      </c>
      <c r="K5" s="41">
        <v>0.0</v>
      </c>
      <c r="L5" s="39">
        <v>4.0</v>
      </c>
      <c r="M5" s="40">
        <v>9.0</v>
      </c>
      <c r="N5" s="40">
        <v>2.0</v>
      </c>
      <c r="O5" s="40">
        <v>0.0</v>
      </c>
      <c r="P5" s="42">
        <v>0.0</v>
      </c>
      <c r="Q5" s="39">
        <v>10.0</v>
      </c>
      <c r="R5" s="40">
        <v>5.0</v>
      </c>
      <c r="S5" s="43">
        <v>3.0</v>
      </c>
      <c r="T5" s="41">
        <v>12.0</v>
      </c>
      <c r="U5" s="44">
        <f t="shared" ref="U5:U38" si="1">(C$3*C5)+(D$3*D5)+(E$3*E5)+(F$3*F5)+(G$3*G5)+(H$3*H5)+(I$3*I5)+(J$3*J5)+(K$3*K5)+(L$3*L5)+(M$3*M5)+(N$3*N5)+(O$3*O5)+(P$3*P5)+(Q$3*Q5)+(R$3*R5)+(S$3*S5)+(T$3*T5)</f>
        <v>2790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45" t="s">
        <v>31</v>
      </c>
      <c r="B6" s="38" t="s">
        <v>32</v>
      </c>
      <c r="C6" s="39">
        <v>18.0</v>
      </c>
      <c r="D6" s="40">
        <v>7.0</v>
      </c>
      <c r="E6" s="40">
        <v>4.0</v>
      </c>
      <c r="F6" s="40">
        <v>2.0</v>
      </c>
      <c r="G6" s="40">
        <v>2.0</v>
      </c>
      <c r="H6" s="40">
        <v>0.0</v>
      </c>
      <c r="I6" s="41">
        <v>2.0</v>
      </c>
      <c r="J6" s="39">
        <v>0.0</v>
      </c>
      <c r="K6" s="41">
        <v>2.0</v>
      </c>
      <c r="L6" s="39">
        <v>2.0</v>
      </c>
      <c r="M6" s="40">
        <v>0.0</v>
      </c>
      <c r="N6" s="40">
        <v>0.0</v>
      </c>
      <c r="O6" s="40">
        <v>0.0</v>
      </c>
      <c r="P6" s="42">
        <v>0.0</v>
      </c>
      <c r="Q6" s="39">
        <v>5.0</v>
      </c>
      <c r="R6" s="40">
        <v>5.0</v>
      </c>
      <c r="S6" s="43">
        <v>2.0</v>
      </c>
      <c r="T6" s="41">
        <v>11.0</v>
      </c>
      <c r="U6" s="44">
        <f t="shared" si="1"/>
        <v>2580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6" t="s">
        <v>33</v>
      </c>
      <c r="B7" s="38" t="s">
        <v>30</v>
      </c>
      <c r="C7" s="39">
        <v>16.0</v>
      </c>
      <c r="D7" s="40">
        <v>8.0</v>
      </c>
      <c r="E7" s="40">
        <v>1.0</v>
      </c>
      <c r="F7" s="40">
        <v>2.0</v>
      </c>
      <c r="G7" s="40">
        <v>3.0</v>
      </c>
      <c r="H7" s="40">
        <v>0.0</v>
      </c>
      <c r="I7" s="41">
        <v>3.0</v>
      </c>
      <c r="J7" s="39">
        <v>2.0</v>
      </c>
      <c r="K7" s="41">
        <v>0.0</v>
      </c>
      <c r="L7" s="39">
        <v>2.0</v>
      </c>
      <c r="M7" s="40">
        <v>1.0</v>
      </c>
      <c r="N7" s="40">
        <v>0.0</v>
      </c>
      <c r="O7" s="40">
        <v>0.0</v>
      </c>
      <c r="P7" s="42">
        <v>0.0</v>
      </c>
      <c r="Q7" s="39">
        <v>7.0</v>
      </c>
      <c r="R7" s="40">
        <v>5.0</v>
      </c>
      <c r="S7" s="43">
        <v>1.0</v>
      </c>
      <c r="T7" s="41">
        <v>12.0</v>
      </c>
      <c r="U7" s="44">
        <f t="shared" si="1"/>
        <v>2340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5" t="s">
        <v>34</v>
      </c>
      <c r="B8" s="38" t="s">
        <v>32</v>
      </c>
      <c r="C8" s="39">
        <v>20.0</v>
      </c>
      <c r="D8" s="40">
        <v>14.0</v>
      </c>
      <c r="E8" s="40">
        <v>3.0</v>
      </c>
      <c r="F8" s="40">
        <v>6.0</v>
      </c>
      <c r="G8" s="40">
        <v>2.0</v>
      </c>
      <c r="H8" s="40">
        <v>0.0</v>
      </c>
      <c r="I8" s="41">
        <v>1.0</v>
      </c>
      <c r="J8" s="39">
        <v>0.0</v>
      </c>
      <c r="K8" s="41">
        <v>0.0</v>
      </c>
      <c r="L8" s="39">
        <v>4.0</v>
      </c>
      <c r="M8" s="40">
        <v>10.0</v>
      </c>
      <c r="N8" s="40">
        <v>0.0</v>
      </c>
      <c r="O8" s="40">
        <v>0.0</v>
      </c>
      <c r="P8" s="42">
        <v>0.0</v>
      </c>
      <c r="Q8" s="39">
        <v>4.0</v>
      </c>
      <c r="R8" s="40">
        <v>4.0</v>
      </c>
      <c r="S8" s="43">
        <v>2.0</v>
      </c>
      <c r="T8" s="41">
        <v>11.0</v>
      </c>
      <c r="U8" s="44">
        <f t="shared" si="1"/>
        <v>2310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35</v>
      </c>
      <c r="B9" s="38" t="s">
        <v>30</v>
      </c>
      <c r="C9" s="39">
        <v>8.0</v>
      </c>
      <c r="D9" s="40">
        <v>10.0</v>
      </c>
      <c r="E9" s="40">
        <v>7.0</v>
      </c>
      <c r="F9" s="40">
        <v>3.0</v>
      </c>
      <c r="G9" s="40">
        <v>3.0</v>
      </c>
      <c r="H9" s="40">
        <v>0.0</v>
      </c>
      <c r="I9" s="41">
        <v>18.0</v>
      </c>
      <c r="J9" s="39">
        <v>0.0</v>
      </c>
      <c r="K9" s="41">
        <v>0.0</v>
      </c>
      <c r="L9" s="39">
        <v>5.0</v>
      </c>
      <c r="M9" s="40">
        <v>3.0</v>
      </c>
      <c r="N9" s="40">
        <v>3.0</v>
      </c>
      <c r="O9" s="40">
        <v>0.0</v>
      </c>
      <c r="P9" s="42">
        <v>0.0</v>
      </c>
      <c r="Q9" s="39">
        <v>8.0</v>
      </c>
      <c r="R9" s="40">
        <v>4.0</v>
      </c>
      <c r="S9" s="43">
        <v>2.0</v>
      </c>
      <c r="T9" s="41">
        <v>12.0</v>
      </c>
      <c r="U9" s="44">
        <f t="shared" si="1"/>
        <v>2280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47">
        <v>11.0</v>
      </c>
      <c r="D10" s="48">
        <v>19.0</v>
      </c>
      <c r="E10" s="48">
        <v>9.0</v>
      </c>
      <c r="F10" s="48">
        <v>8.0</v>
      </c>
      <c r="G10" s="48">
        <v>2.0</v>
      </c>
      <c r="H10" s="48">
        <v>0.0</v>
      </c>
      <c r="I10" s="49">
        <v>3.0</v>
      </c>
      <c r="J10" s="39">
        <v>0.0</v>
      </c>
      <c r="K10" s="41">
        <v>0.0</v>
      </c>
      <c r="L10" s="39">
        <v>0.0</v>
      </c>
      <c r="M10" s="40">
        <v>0.0</v>
      </c>
      <c r="N10" s="40">
        <v>0.0</v>
      </c>
      <c r="O10" s="40">
        <v>2.0</v>
      </c>
      <c r="P10" s="42">
        <v>0.0</v>
      </c>
      <c r="Q10" s="39">
        <v>10.0</v>
      </c>
      <c r="R10" s="40">
        <v>6.0</v>
      </c>
      <c r="S10" s="43">
        <v>3.0</v>
      </c>
      <c r="T10" s="41">
        <v>12.0</v>
      </c>
      <c r="U10" s="44">
        <f t="shared" si="1"/>
        <v>2175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37" t="s">
        <v>37</v>
      </c>
      <c r="B11" s="38" t="s">
        <v>30</v>
      </c>
      <c r="C11" s="39">
        <v>10.0</v>
      </c>
      <c r="D11" s="40">
        <v>4.0</v>
      </c>
      <c r="E11" s="40">
        <v>5.0</v>
      </c>
      <c r="F11" s="40">
        <v>4.0</v>
      </c>
      <c r="G11" s="40">
        <v>5.0</v>
      </c>
      <c r="H11" s="40">
        <v>0.0</v>
      </c>
      <c r="I11" s="41">
        <v>2.0</v>
      </c>
      <c r="J11" s="39">
        <v>0.0</v>
      </c>
      <c r="K11" s="41">
        <v>0.0</v>
      </c>
      <c r="L11" s="39">
        <v>0.0</v>
      </c>
      <c r="M11" s="40">
        <v>0.0</v>
      </c>
      <c r="N11" s="40">
        <v>2.0</v>
      </c>
      <c r="O11" s="40">
        <v>0.0</v>
      </c>
      <c r="P11" s="42">
        <v>0.0</v>
      </c>
      <c r="Q11" s="39">
        <v>7.0</v>
      </c>
      <c r="R11" s="40">
        <v>2.0</v>
      </c>
      <c r="S11" s="43">
        <v>2.0</v>
      </c>
      <c r="T11" s="41">
        <v>12.0</v>
      </c>
      <c r="U11" s="44">
        <f t="shared" si="1"/>
        <v>1995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45" t="s">
        <v>38</v>
      </c>
      <c r="B12" s="38" t="s">
        <v>32</v>
      </c>
      <c r="C12" s="39">
        <v>15.0</v>
      </c>
      <c r="D12" s="40">
        <v>17.0</v>
      </c>
      <c r="E12" s="40">
        <v>3.0</v>
      </c>
      <c r="F12" s="40">
        <v>1.0</v>
      </c>
      <c r="G12" s="40">
        <v>1.0</v>
      </c>
      <c r="H12" s="40">
        <v>0.0</v>
      </c>
      <c r="I12" s="41">
        <v>6.0</v>
      </c>
      <c r="J12" s="39">
        <v>1.0</v>
      </c>
      <c r="K12" s="41">
        <v>0.0</v>
      </c>
      <c r="L12" s="39">
        <v>0.0</v>
      </c>
      <c r="M12" s="40">
        <v>0.0</v>
      </c>
      <c r="N12" s="40">
        <v>0.0</v>
      </c>
      <c r="O12" s="40">
        <v>0.0</v>
      </c>
      <c r="P12" s="42">
        <v>0.0</v>
      </c>
      <c r="Q12" s="39">
        <v>4.0</v>
      </c>
      <c r="R12" s="40">
        <v>4.0</v>
      </c>
      <c r="S12" s="43">
        <v>2.0</v>
      </c>
      <c r="T12" s="41">
        <v>11.0</v>
      </c>
      <c r="U12" s="44">
        <f t="shared" si="1"/>
        <v>1845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37" t="s">
        <v>39</v>
      </c>
      <c r="B13" s="38" t="s">
        <v>30</v>
      </c>
      <c r="C13" s="39">
        <v>10.0</v>
      </c>
      <c r="D13" s="40">
        <v>9.0</v>
      </c>
      <c r="E13" s="40">
        <v>3.0</v>
      </c>
      <c r="F13" s="40">
        <v>6.0</v>
      </c>
      <c r="G13" s="40">
        <v>1.0</v>
      </c>
      <c r="H13" s="40">
        <v>0.0</v>
      </c>
      <c r="I13" s="41">
        <v>0.0</v>
      </c>
      <c r="J13" s="39">
        <v>0.0</v>
      </c>
      <c r="K13" s="41">
        <v>0.0</v>
      </c>
      <c r="L13" s="39">
        <v>3.0</v>
      </c>
      <c r="M13" s="40">
        <v>1.0</v>
      </c>
      <c r="N13" s="40">
        <v>1.0</v>
      </c>
      <c r="O13" s="40">
        <v>0.0</v>
      </c>
      <c r="P13" s="42">
        <v>0.0</v>
      </c>
      <c r="Q13" s="39">
        <v>8.0</v>
      </c>
      <c r="R13" s="40">
        <v>4.0</v>
      </c>
      <c r="S13" s="43">
        <v>3.0</v>
      </c>
      <c r="T13" s="41">
        <v>12.0</v>
      </c>
      <c r="U13" s="44">
        <f t="shared" si="1"/>
        <v>1755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37" t="s">
        <v>40</v>
      </c>
      <c r="B14" s="38" t="s">
        <v>30</v>
      </c>
      <c r="C14" s="39">
        <v>11.0</v>
      </c>
      <c r="D14" s="40">
        <v>10.0</v>
      </c>
      <c r="E14" s="40">
        <v>1.0</v>
      </c>
      <c r="F14" s="40">
        <v>0.0</v>
      </c>
      <c r="G14" s="40">
        <v>2.0</v>
      </c>
      <c r="H14" s="40">
        <v>0.0</v>
      </c>
      <c r="I14" s="41">
        <v>2.0</v>
      </c>
      <c r="J14" s="39">
        <v>0.0</v>
      </c>
      <c r="K14" s="41">
        <v>0.0</v>
      </c>
      <c r="L14" s="39">
        <v>2.0</v>
      </c>
      <c r="M14" s="40">
        <v>7.0</v>
      </c>
      <c r="N14" s="40">
        <v>2.0</v>
      </c>
      <c r="O14" s="40">
        <v>0.0</v>
      </c>
      <c r="P14" s="42">
        <v>0.0</v>
      </c>
      <c r="Q14" s="39">
        <v>8.0</v>
      </c>
      <c r="R14" s="40">
        <v>4.0</v>
      </c>
      <c r="S14" s="43">
        <v>2.0</v>
      </c>
      <c r="T14" s="41">
        <v>12.0</v>
      </c>
      <c r="U14" s="44">
        <f t="shared" si="1"/>
        <v>1590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0" t="s">
        <v>41</v>
      </c>
      <c r="B15" s="38" t="s">
        <v>30</v>
      </c>
      <c r="C15" s="39">
        <v>7.0</v>
      </c>
      <c r="D15" s="40">
        <v>10.0</v>
      </c>
      <c r="E15" s="40">
        <v>7.0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1.0</v>
      </c>
      <c r="M15" s="40">
        <v>1.0</v>
      </c>
      <c r="N15" s="40">
        <v>2.0</v>
      </c>
      <c r="O15" s="40">
        <v>0.0</v>
      </c>
      <c r="P15" s="42">
        <v>0.0</v>
      </c>
      <c r="Q15" s="39">
        <v>7.0</v>
      </c>
      <c r="R15" s="40">
        <v>4.0</v>
      </c>
      <c r="S15" s="43">
        <v>2.0</v>
      </c>
      <c r="T15" s="41">
        <v>12.0</v>
      </c>
      <c r="U15" s="44">
        <f t="shared" si="1"/>
        <v>1575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50" t="s">
        <v>42</v>
      </c>
      <c r="B16" s="38" t="s">
        <v>32</v>
      </c>
      <c r="C16" s="39">
        <v>12.0</v>
      </c>
      <c r="D16" s="40">
        <v>6.0</v>
      </c>
      <c r="E16" s="40">
        <v>3.0</v>
      </c>
      <c r="F16" s="40">
        <v>0.0</v>
      </c>
      <c r="G16" s="40">
        <v>4.0</v>
      </c>
      <c r="H16" s="40">
        <v>0.0</v>
      </c>
      <c r="I16" s="41">
        <v>2.0</v>
      </c>
      <c r="J16" s="39">
        <v>0.0</v>
      </c>
      <c r="K16" s="41">
        <v>0.0</v>
      </c>
      <c r="L16" s="39">
        <v>3.0</v>
      </c>
      <c r="M16" s="40">
        <v>0.0</v>
      </c>
      <c r="N16" s="40">
        <v>0.0</v>
      </c>
      <c r="O16" s="40">
        <v>0.0</v>
      </c>
      <c r="P16" s="42">
        <v>0.0</v>
      </c>
      <c r="Q16" s="39">
        <v>4.0</v>
      </c>
      <c r="R16" s="40">
        <v>3.0</v>
      </c>
      <c r="S16" s="43">
        <v>2.0</v>
      </c>
      <c r="T16" s="41">
        <v>11.0</v>
      </c>
      <c r="U16" s="44">
        <f t="shared" si="1"/>
        <v>1575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5" t="s">
        <v>43</v>
      </c>
      <c r="B17" s="38" t="s">
        <v>32</v>
      </c>
      <c r="C17" s="39">
        <v>13.0</v>
      </c>
      <c r="D17" s="40">
        <v>11.0</v>
      </c>
      <c r="E17" s="40">
        <v>3.0</v>
      </c>
      <c r="F17" s="40">
        <v>0.0</v>
      </c>
      <c r="G17" s="40">
        <v>1.0</v>
      </c>
      <c r="H17" s="40">
        <v>0.0</v>
      </c>
      <c r="I17" s="41">
        <v>0.0</v>
      </c>
      <c r="J17" s="39">
        <v>0.0</v>
      </c>
      <c r="K17" s="41">
        <v>1.0</v>
      </c>
      <c r="L17" s="39">
        <v>10.0</v>
      </c>
      <c r="M17" s="40">
        <v>0.0</v>
      </c>
      <c r="N17" s="40">
        <v>0.0</v>
      </c>
      <c r="O17" s="40">
        <v>1.0</v>
      </c>
      <c r="P17" s="42">
        <v>0.0</v>
      </c>
      <c r="Q17" s="39">
        <v>5.0</v>
      </c>
      <c r="R17" s="40">
        <v>4.0</v>
      </c>
      <c r="S17" s="43">
        <v>2.0</v>
      </c>
      <c r="T17" s="41">
        <v>11.0</v>
      </c>
      <c r="U17" s="44">
        <f t="shared" si="1"/>
        <v>1515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5" t="s">
        <v>44</v>
      </c>
      <c r="B18" s="51" t="s">
        <v>30</v>
      </c>
      <c r="C18" s="39">
        <v>13.0</v>
      </c>
      <c r="D18" s="40">
        <v>15.0</v>
      </c>
      <c r="E18" s="40">
        <v>2.0</v>
      </c>
      <c r="F18" s="40">
        <v>0.0</v>
      </c>
      <c r="G18" s="40">
        <v>3.0</v>
      </c>
      <c r="H18" s="40">
        <v>0.0</v>
      </c>
      <c r="I18" s="41">
        <v>4.0</v>
      </c>
      <c r="J18" s="39">
        <v>0.0</v>
      </c>
      <c r="K18" s="41">
        <v>0.0</v>
      </c>
      <c r="L18" s="39">
        <v>3.0</v>
      </c>
      <c r="M18" s="40">
        <v>3.0</v>
      </c>
      <c r="N18" s="40">
        <v>0.0</v>
      </c>
      <c r="O18" s="40">
        <v>0.0</v>
      </c>
      <c r="P18" s="42">
        <v>0.0</v>
      </c>
      <c r="Q18" s="39">
        <v>3.0</v>
      </c>
      <c r="R18" s="40">
        <v>5.0</v>
      </c>
      <c r="S18" s="43">
        <v>3.0</v>
      </c>
      <c r="T18" s="41">
        <v>12.0</v>
      </c>
      <c r="U18" s="44">
        <f t="shared" si="1"/>
        <v>1500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6" t="s">
        <v>45</v>
      </c>
      <c r="B19" s="38" t="s">
        <v>30</v>
      </c>
      <c r="C19" s="39">
        <v>9.0</v>
      </c>
      <c r="D19" s="40">
        <v>18.0</v>
      </c>
      <c r="E19" s="40">
        <v>4.0</v>
      </c>
      <c r="F19" s="40">
        <v>3.0</v>
      </c>
      <c r="G19" s="40">
        <v>2.0</v>
      </c>
      <c r="H19" s="40">
        <v>0.0</v>
      </c>
      <c r="I19" s="41">
        <v>1.0</v>
      </c>
      <c r="J19" s="39">
        <v>0.0</v>
      </c>
      <c r="K19" s="41">
        <v>0.0</v>
      </c>
      <c r="L19" s="39">
        <v>0.0</v>
      </c>
      <c r="M19" s="40">
        <v>0.0</v>
      </c>
      <c r="N19" s="40">
        <v>0.0</v>
      </c>
      <c r="O19" s="40">
        <v>1.0</v>
      </c>
      <c r="P19" s="42">
        <v>0.0</v>
      </c>
      <c r="Q19" s="39">
        <v>9.0</v>
      </c>
      <c r="R19" s="40">
        <v>4.0</v>
      </c>
      <c r="S19" s="43">
        <v>3.0</v>
      </c>
      <c r="T19" s="41">
        <v>12.0</v>
      </c>
      <c r="U19" s="44">
        <f t="shared" si="1"/>
        <v>1395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6" t="s">
        <v>46</v>
      </c>
      <c r="B20" s="38" t="s">
        <v>30</v>
      </c>
      <c r="C20" s="39">
        <v>4.0</v>
      </c>
      <c r="D20" s="40">
        <v>4.0</v>
      </c>
      <c r="E20" s="40">
        <v>2.0</v>
      </c>
      <c r="F20" s="40">
        <v>3.0</v>
      </c>
      <c r="G20" s="40">
        <v>0.0</v>
      </c>
      <c r="H20" s="40">
        <v>0.0</v>
      </c>
      <c r="I20" s="41">
        <v>0.0</v>
      </c>
      <c r="J20" s="39">
        <v>0.0</v>
      </c>
      <c r="K20" s="41">
        <v>0.0</v>
      </c>
      <c r="L20" s="39">
        <v>1.0</v>
      </c>
      <c r="M20" s="40">
        <v>0.0</v>
      </c>
      <c r="N20" s="40">
        <v>2.0</v>
      </c>
      <c r="O20" s="40">
        <v>1.0</v>
      </c>
      <c r="P20" s="42">
        <v>1.0</v>
      </c>
      <c r="Q20" s="39">
        <v>6.0</v>
      </c>
      <c r="R20" s="40">
        <v>2.0</v>
      </c>
      <c r="S20" s="43">
        <v>0.0</v>
      </c>
      <c r="T20" s="41">
        <v>12.0</v>
      </c>
      <c r="U20" s="44">
        <f t="shared" si="1"/>
        <v>1245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5" t="s">
        <v>47</v>
      </c>
      <c r="B21" s="38" t="s">
        <v>32</v>
      </c>
      <c r="C21" s="39">
        <v>5.0</v>
      </c>
      <c r="D21" s="40">
        <v>9.0</v>
      </c>
      <c r="E21" s="40">
        <v>5.0</v>
      </c>
      <c r="F21" s="40">
        <v>0.0</v>
      </c>
      <c r="G21" s="40">
        <v>1.0</v>
      </c>
      <c r="H21" s="40">
        <v>0.0</v>
      </c>
      <c r="I21" s="41">
        <v>3.0</v>
      </c>
      <c r="J21" s="39">
        <v>0.0</v>
      </c>
      <c r="K21" s="41">
        <v>0.0</v>
      </c>
      <c r="L21" s="39">
        <v>7.0</v>
      </c>
      <c r="M21" s="40">
        <v>8.0</v>
      </c>
      <c r="N21" s="40">
        <v>0.0</v>
      </c>
      <c r="O21" s="40">
        <v>0.0</v>
      </c>
      <c r="P21" s="42">
        <v>0.0</v>
      </c>
      <c r="Q21" s="39">
        <v>3.0</v>
      </c>
      <c r="R21" s="40">
        <v>5.0</v>
      </c>
      <c r="S21" s="43">
        <v>1.0</v>
      </c>
      <c r="T21" s="41">
        <v>11.0</v>
      </c>
      <c r="U21" s="44">
        <f t="shared" si="1"/>
        <v>1125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5" t="s">
        <v>48</v>
      </c>
      <c r="B22" s="38" t="s">
        <v>32</v>
      </c>
      <c r="C22" s="39">
        <v>4.0</v>
      </c>
      <c r="D22" s="40">
        <v>2.0</v>
      </c>
      <c r="E22" s="40">
        <v>3.0</v>
      </c>
      <c r="F22" s="40">
        <v>1.0</v>
      </c>
      <c r="G22" s="40">
        <v>1.0</v>
      </c>
      <c r="H22" s="40">
        <v>0.0</v>
      </c>
      <c r="I22" s="41">
        <v>0.0</v>
      </c>
      <c r="J22" s="39">
        <v>0.0</v>
      </c>
      <c r="K22" s="41">
        <v>0.0</v>
      </c>
      <c r="L22" s="39">
        <v>0.0</v>
      </c>
      <c r="M22" s="40">
        <v>4.0</v>
      </c>
      <c r="N22" s="40">
        <v>0.0</v>
      </c>
      <c r="O22" s="40">
        <v>1.0</v>
      </c>
      <c r="P22" s="42">
        <v>1.0</v>
      </c>
      <c r="Q22" s="39">
        <v>1.0</v>
      </c>
      <c r="R22" s="40">
        <v>1.0</v>
      </c>
      <c r="S22" s="43">
        <v>0.0</v>
      </c>
      <c r="T22" s="41">
        <v>11.0</v>
      </c>
      <c r="U22" s="44">
        <f t="shared" si="1"/>
        <v>1095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37" t="s">
        <v>49</v>
      </c>
      <c r="B23" s="38" t="s">
        <v>30</v>
      </c>
      <c r="C23" s="39">
        <v>5.0</v>
      </c>
      <c r="D23" s="40">
        <v>6.0</v>
      </c>
      <c r="E23" s="40">
        <v>3.0</v>
      </c>
      <c r="F23" s="40">
        <v>0.0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2.0</v>
      </c>
      <c r="M23" s="40">
        <v>2.0</v>
      </c>
      <c r="N23" s="40">
        <v>0.0</v>
      </c>
      <c r="O23" s="40">
        <v>0.0</v>
      </c>
      <c r="P23" s="42">
        <v>0.0</v>
      </c>
      <c r="Q23" s="39">
        <v>6.0</v>
      </c>
      <c r="R23" s="40">
        <v>3.0</v>
      </c>
      <c r="S23" s="43">
        <v>2.0</v>
      </c>
      <c r="T23" s="41">
        <v>12.0</v>
      </c>
      <c r="U23" s="44">
        <f t="shared" si="1"/>
        <v>1080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5" t="s">
        <v>50</v>
      </c>
      <c r="B24" s="51" t="s">
        <v>32</v>
      </c>
      <c r="C24" s="39">
        <v>9.0</v>
      </c>
      <c r="D24" s="40">
        <v>10.0</v>
      </c>
      <c r="E24" s="40">
        <v>0.0</v>
      </c>
      <c r="F24" s="40">
        <v>0.0</v>
      </c>
      <c r="G24" s="40">
        <v>0.0</v>
      </c>
      <c r="H24" s="40">
        <v>0.0</v>
      </c>
      <c r="I24" s="41">
        <v>3.0</v>
      </c>
      <c r="J24" s="39">
        <v>0.0</v>
      </c>
      <c r="K24" s="41">
        <v>0.0</v>
      </c>
      <c r="L24" s="39">
        <v>0.0</v>
      </c>
      <c r="M24" s="40">
        <v>0.0</v>
      </c>
      <c r="N24" s="40">
        <v>0.0</v>
      </c>
      <c r="O24" s="40">
        <v>0.0</v>
      </c>
      <c r="P24" s="42">
        <v>0.0</v>
      </c>
      <c r="Q24" s="39">
        <v>5.0</v>
      </c>
      <c r="R24" s="40">
        <v>1.0</v>
      </c>
      <c r="S24" s="43">
        <v>2.0</v>
      </c>
      <c r="T24" s="41">
        <v>12.0</v>
      </c>
      <c r="U24" s="44">
        <f t="shared" si="1"/>
        <v>1065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5" t="s">
        <v>51</v>
      </c>
      <c r="B25" s="38" t="s">
        <v>32</v>
      </c>
      <c r="C25" s="39">
        <v>6.0</v>
      </c>
      <c r="D25" s="40">
        <v>4.0</v>
      </c>
      <c r="E25" s="40">
        <v>1.0</v>
      </c>
      <c r="F25" s="40">
        <v>1.0</v>
      </c>
      <c r="G25" s="40">
        <v>1.0</v>
      </c>
      <c r="H25" s="40">
        <v>0.0</v>
      </c>
      <c r="I25" s="41">
        <v>2.0</v>
      </c>
      <c r="J25" s="39">
        <v>0.0</v>
      </c>
      <c r="K25" s="41">
        <v>0.0</v>
      </c>
      <c r="L25" s="39">
        <v>1.0</v>
      </c>
      <c r="M25" s="40">
        <v>1.0</v>
      </c>
      <c r="N25" s="40">
        <v>1.0</v>
      </c>
      <c r="O25" s="40">
        <v>0.0</v>
      </c>
      <c r="P25" s="42">
        <v>0.0</v>
      </c>
      <c r="Q25" s="39">
        <v>3.0</v>
      </c>
      <c r="R25" s="40">
        <v>1.0</v>
      </c>
      <c r="S25" s="43">
        <v>1.0</v>
      </c>
      <c r="T25" s="41">
        <v>11.0</v>
      </c>
      <c r="U25" s="44">
        <f t="shared" si="1"/>
        <v>1020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6" t="s">
        <v>52</v>
      </c>
      <c r="B26" s="38" t="s">
        <v>30</v>
      </c>
      <c r="C26" s="39">
        <v>5.0</v>
      </c>
      <c r="D26" s="40">
        <v>4.0</v>
      </c>
      <c r="E26" s="40">
        <v>0.0</v>
      </c>
      <c r="F26" s="40">
        <v>1.0</v>
      </c>
      <c r="G26" s="40">
        <v>0.0</v>
      </c>
      <c r="H26" s="40">
        <v>0.0</v>
      </c>
      <c r="I26" s="41">
        <v>1.0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0.0</v>
      </c>
      <c r="P26" s="42">
        <v>0.0</v>
      </c>
      <c r="Q26" s="39">
        <v>4.0</v>
      </c>
      <c r="R26" s="40">
        <v>2.0</v>
      </c>
      <c r="S26" s="43">
        <v>1.0</v>
      </c>
      <c r="T26" s="41">
        <v>12.0</v>
      </c>
      <c r="U26" s="44">
        <f t="shared" si="1"/>
        <v>900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5" t="s">
        <v>53</v>
      </c>
      <c r="B27" s="38" t="s">
        <v>30</v>
      </c>
      <c r="C27" s="39">
        <v>2.0</v>
      </c>
      <c r="D27" s="40">
        <v>2.0</v>
      </c>
      <c r="E27" s="40">
        <v>0.0</v>
      </c>
      <c r="F27" s="40">
        <v>0.0</v>
      </c>
      <c r="G27" s="40">
        <v>0.0</v>
      </c>
      <c r="H27" s="40">
        <v>0.0</v>
      </c>
      <c r="I27" s="41">
        <v>0.0</v>
      </c>
      <c r="J27" s="39">
        <v>0.0</v>
      </c>
      <c r="K27" s="41">
        <v>0.0</v>
      </c>
      <c r="L27" s="39">
        <v>2.0</v>
      </c>
      <c r="M27" s="40">
        <v>0.0</v>
      </c>
      <c r="N27" s="40">
        <v>2.0</v>
      </c>
      <c r="O27" s="40">
        <v>1.0</v>
      </c>
      <c r="P27" s="42">
        <v>1.0</v>
      </c>
      <c r="Q27" s="39">
        <v>3.0</v>
      </c>
      <c r="R27" s="40">
        <v>3.0</v>
      </c>
      <c r="S27" s="43">
        <v>1.0</v>
      </c>
      <c r="T27" s="41">
        <v>12.0</v>
      </c>
      <c r="U27" s="44">
        <f t="shared" si="1"/>
        <v>855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37" t="s">
        <v>54</v>
      </c>
      <c r="B28" s="51" t="s">
        <v>32</v>
      </c>
      <c r="C28" s="39">
        <v>7.0</v>
      </c>
      <c r="D28" s="40">
        <v>13.0</v>
      </c>
      <c r="E28" s="40">
        <v>0.0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1.0</v>
      </c>
      <c r="M28" s="40">
        <v>3.0</v>
      </c>
      <c r="N28" s="40">
        <v>1.0</v>
      </c>
      <c r="O28" s="40">
        <v>2.0</v>
      </c>
      <c r="P28" s="42">
        <v>0.0</v>
      </c>
      <c r="Q28" s="39">
        <v>3.0</v>
      </c>
      <c r="R28" s="40">
        <v>4.0</v>
      </c>
      <c r="S28" s="43">
        <v>0.0</v>
      </c>
      <c r="T28" s="41">
        <v>11.0</v>
      </c>
      <c r="U28" s="44">
        <f t="shared" si="1"/>
        <v>735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50" t="s">
        <v>55</v>
      </c>
      <c r="B29" s="38" t="s">
        <v>32</v>
      </c>
      <c r="C29" s="39">
        <v>2.0</v>
      </c>
      <c r="D29" s="40">
        <v>7.0</v>
      </c>
      <c r="E29" s="40">
        <v>2.0</v>
      </c>
      <c r="F29" s="40">
        <v>0.0</v>
      </c>
      <c r="G29" s="40">
        <v>0.0</v>
      </c>
      <c r="H29" s="40">
        <v>0.0</v>
      </c>
      <c r="I29" s="41">
        <v>2.0</v>
      </c>
      <c r="J29" s="39">
        <v>0.0</v>
      </c>
      <c r="K29" s="41">
        <v>0.0</v>
      </c>
      <c r="L29" s="39">
        <v>2.0</v>
      </c>
      <c r="M29" s="40">
        <v>5.0</v>
      </c>
      <c r="N29" s="40">
        <v>1.0</v>
      </c>
      <c r="O29" s="40">
        <v>1.0</v>
      </c>
      <c r="P29" s="42">
        <v>0.0</v>
      </c>
      <c r="Q29" s="39">
        <v>2.0</v>
      </c>
      <c r="R29" s="40">
        <v>3.0</v>
      </c>
      <c r="S29" s="43">
        <v>1.0</v>
      </c>
      <c r="T29" s="41">
        <v>11.0</v>
      </c>
      <c r="U29" s="44">
        <f t="shared" si="1"/>
        <v>690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5" t="s">
        <v>56</v>
      </c>
      <c r="B30" s="38" t="s">
        <v>32</v>
      </c>
      <c r="C30" s="39">
        <v>4.0</v>
      </c>
      <c r="D30" s="40">
        <v>8.0</v>
      </c>
      <c r="E30" s="40">
        <v>2.0</v>
      </c>
      <c r="F30" s="40">
        <v>0.0</v>
      </c>
      <c r="G30" s="40">
        <v>1.0</v>
      </c>
      <c r="H30" s="40">
        <v>0.0</v>
      </c>
      <c r="I30" s="41">
        <v>0.0</v>
      </c>
      <c r="J30" s="39">
        <v>0.0</v>
      </c>
      <c r="K30" s="41">
        <v>0.0</v>
      </c>
      <c r="L30" s="39">
        <v>1.0</v>
      </c>
      <c r="M30" s="40">
        <v>0.0</v>
      </c>
      <c r="N30" s="40">
        <v>0.0</v>
      </c>
      <c r="O30" s="40">
        <v>0.0</v>
      </c>
      <c r="P30" s="42">
        <v>0.0</v>
      </c>
      <c r="Q30" s="39">
        <v>3.0</v>
      </c>
      <c r="R30" s="40">
        <v>1.0</v>
      </c>
      <c r="S30" s="43">
        <v>0.0</v>
      </c>
      <c r="T30" s="41">
        <v>11.0</v>
      </c>
      <c r="U30" s="44">
        <f t="shared" si="1"/>
        <v>630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5" t="s">
        <v>57</v>
      </c>
      <c r="B31" s="38" t="s">
        <v>32</v>
      </c>
      <c r="C31" s="39">
        <v>5.0</v>
      </c>
      <c r="D31" s="40">
        <v>16.0</v>
      </c>
      <c r="E31" s="40">
        <v>1.0</v>
      </c>
      <c r="F31" s="40">
        <v>0.0</v>
      </c>
      <c r="G31" s="40">
        <v>0.0</v>
      </c>
      <c r="H31" s="40">
        <v>0.0</v>
      </c>
      <c r="I31" s="41">
        <v>4.0</v>
      </c>
      <c r="J31" s="39">
        <v>0.0</v>
      </c>
      <c r="K31" s="41">
        <v>0.0</v>
      </c>
      <c r="L31" s="39">
        <v>3.0</v>
      </c>
      <c r="M31" s="40">
        <v>0.0</v>
      </c>
      <c r="N31" s="40">
        <v>1.0</v>
      </c>
      <c r="O31" s="40">
        <v>1.0</v>
      </c>
      <c r="P31" s="42">
        <v>0.0</v>
      </c>
      <c r="Q31" s="39">
        <v>2.0</v>
      </c>
      <c r="R31" s="40">
        <v>5.0</v>
      </c>
      <c r="S31" s="43">
        <v>1.0</v>
      </c>
      <c r="T31" s="41">
        <v>11.0</v>
      </c>
      <c r="U31" s="44">
        <f t="shared" si="1"/>
        <v>615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50" t="s">
        <v>58</v>
      </c>
      <c r="B32" s="38" t="s">
        <v>32</v>
      </c>
      <c r="C32" s="39">
        <v>3.0</v>
      </c>
      <c r="D32" s="40">
        <v>2.0</v>
      </c>
      <c r="E32" s="40">
        <v>0.0</v>
      </c>
      <c r="F32" s="40">
        <v>1.0</v>
      </c>
      <c r="G32" s="40">
        <v>0.0</v>
      </c>
      <c r="H32" s="40">
        <v>0.0</v>
      </c>
      <c r="I32" s="41">
        <v>0.0</v>
      </c>
      <c r="J32" s="39">
        <v>0.0</v>
      </c>
      <c r="K32" s="41">
        <v>0.0</v>
      </c>
      <c r="L32" s="39">
        <v>1.0</v>
      </c>
      <c r="M32" s="40">
        <v>1.0</v>
      </c>
      <c r="N32" s="40">
        <v>0.0</v>
      </c>
      <c r="O32" s="40">
        <v>0.0</v>
      </c>
      <c r="P32" s="42">
        <v>0.0</v>
      </c>
      <c r="Q32" s="39">
        <v>2.0</v>
      </c>
      <c r="R32" s="40">
        <v>0.0</v>
      </c>
      <c r="S32" s="43">
        <v>0.0</v>
      </c>
      <c r="T32" s="41">
        <v>11.0</v>
      </c>
      <c r="U32" s="44">
        <f t="shared" si="1"/>
        <v>600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6" t="s">
        <v>59</v>
      </c>
      <c r="B33" s="38" t="s">
        <v>30</v>
      </c>
      <c r="C33" s="39">
        <v>2.0</v>
      </c>
      <c r="D33" s="40">
        <v>2.0</v>
      </c>
      <c r="E33" s="40">
        <v>0.0</v>
      </c>
      <c r="F33" s="40">
        <v>0.0</v>
      </c>
      <c r="G33" s="40">
        <v>0.0</v>
      </c>
      <c r="H33" s="40">
        <v>0.0</v>
      </c>
      <c r="I33" s="41">
        <v>0.0</v>
      </c>
      <c r="J33" s="39">
        <v>0.0</v>
      </c>
      <c r="K33" s="41">
        <v>0.0</v>
      </c>
      <c r="L33" s="39">
        <v>0.0</v>
      </c>
      <c r="M33" s="40">
        <v>0.0</v>
      </c>
      <c r="N33" s="40">
        <v>0.0</v>
      </c>
      <c r="O33" s="40">
        <v>0.0</v>
      </c>
      <c r="P33" s="42">
        <v>0.0</v>
      </c>
      <c r="Q33" s="39">
        <v>1.0</v>
      </c>
      <c r="R33" s="40">
        <v>2.0</v>
      </c>
      <c r="S33" s="43">
        <v>0.0</v>
      </c>
      <c r="T33" s="41">
        <v>12.0</v>
      </c>
      <c r="U33" s="44">
        <f t="shared" si="1"/>
        <v>540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0" t="s">
        <v>60</v>
      </c>
      <c r="B34" s="38" t="s">
        <v>32</v>
      </c>
      <c r="C34" s="39">
        <v>1.0</v>
      </c>
      <c r="D34" s="40">
        <v>2.0</v>
      </c>
      <c r="E34" s="40">
        <v>0.0</v>
      </c>
      <c r="F34" s="40">
        <v>0.0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2.0</v>
      </c>
      <c r="N34" s="40">
        <v>0.0</v>
      </c>
      <c r="O34" s="40">
        <v>0.0</v>
      </c>
      <c r="P34" s="42">
        <v>0.0</v>
      </c>
      <c r="Q34" s="39">
        <v>3.0</v>
      </c>
      <c r="R34" s="40">
        <v>1.0</v>
      </c>
      <c r="S34" s="43">
        <v>1.0</v>
      </c>
      <c r="T34" s="41">
        <v>11.0</v>
      </c>
      <c r="U34" s="44">
        <f t="shared" si="1"/>
        <v>510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45" t="s">
        <v>61</v>
      </c>
      <c r="B35" s="38" t="s">
        <v>32</v>
      </c>
      <c r="C35" s="39">
        <v>1.0</v>
      </c>
      <c r="D35" s="40">
        <v>1.0</v>
      </c>
      <c r="E35" s="40">
        <v>0.0</v>
      </c>
      <c r="F35" s="40">
        <v>0.0</v>
      </c>
      <c r="G35" s="40">
        <v>0.0</v>
      </c>
      <c r="H35" s="40">
        <v>0.0</v>
      </c>
      <c r="I35" s="41">
        <v>1.0</v>
      </c>
      <c r="J35" s="39">
        <v>0.0</v>
      </c>
      <c r="K35" s="41">
        <v>0.0</v>
      </c>
      <c r="L35" s="39">
        <v>1.0</v>
      </c>
      <c r="M35" s="40">
        <v>0.0</v>
      </c>
      <c r="N35" s="40">
        <v>0.0</v>
      </c>
      <c r="O35" s="40">
        <v>0.0</v>
      </c>
      <c r="P35" s="42">
        <v>0.0</v>
      </c>
      <c r="Q35" s="39">
        <v>0.0</v>
      </c>
      <c r="R35" s="40">
        <v>0.0</v>
      </c>
      <c r="S35" s="43">
        <v>1.0</v>
      </c>
      <c r="T35" s="41">
        <v>11.0</v>
      </c>
      <c r="U35" s="44">
        <f t="shared" si="1"/>
        <v>420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1.0</v>
      </c>
      <c r="D36" s="40">
        <v>4.0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1.0</v>
      </c>
      <c r="S36" s="43">
        <v>0.0</v>
      </c>
      <c r="T36" s="41">
        <v>12.0</v>
      </c>
      <c r="U36" s="44">
        <f t="shared" si="1"/>
        <v>405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1" t="s">
        <v>32</v>
      </c>
      <c r="C37" s="39">
        <v>1.0</v>
      </c>
      <c r="D37" s="40">
        <v>2.0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1.0</v>
      </c>
      <c r="S37" s="43">
        <v>0.0</v>
      </c>
      <c r="T37" s="41">
        <v>11.0</v>
      </c>
      <c r="U37" s="44">
        <f t="shared" si="1"/>
        <v>375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0" t="s">
        <v>64</v>
      </c>
      <c r="B38" s="38" t="s">
        <v>32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56">
        <v>11.0</v>
      </c>
      <c r="U38" s="44">
        <f t="shared" si="1"/>
        <v>330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7" t="s">
        <v>0</v>
      </c>
      <c r="B1" s="2"/>
      <c r="C1" s="58" t="s">
        <v>5</v>
      </c>
      <c r="I1" s="58"/>
      <c r="J1" s="59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60" t="s">
        <v>4</v>
      </c>
      <c r="B2" s="61"/>
      <c r="C2" s="62">
        <v>75.0</v>
      </c>
      <c r="D2" s="63">
        <v>-30.0</v>
      </c>
      <c r="E2" s="64">
        <v>60.0</v>
      </c>
      <c r="F2" s="64">
        <v>90.0</v>
      </c>
      <c r="G2" s="64">
        <v>180.0</v>
      </c>
      <c r="H2" s="63">
        <v>-15.0</v>
      </c>
      <c r="I2" s="65">
        <v>30.0</v>
      </c>
      <c r="J2" s="66">
        <v>-15.0</v>
      </c>
      <c r="K2" s="67">
        <v>180.0</v>
      </c>
      <c r="L2" s="67">
        <v>180.0</v>
      </c>
      <c r="M2" s="68">
        <v>180.0</v>
      </c>
      <c r="N2" s="69">
        <v>60.0</v>
      </c>
      <c r="O2" s="23">
        <v>180.0</v>
      </c>
      <c r="P2" s="67">
        <v>30.0</v>
      </c>
      <c r="Q2" s="68">
        <v>30.0</v>
      </c>
      <c r="R2" s="70"/>
      <c r="S2" s="71"/>
      <c r="T2" s="71"/>
      <c r="U2" s="71"/>
      <c r="V2" s="71"/>
      <c r="W2" s="71"/>
    </row>
    <row r="3">
      <c r="A3" s="72" t="s">
        <v>65</v>
      </c>
      <c r="B3" s="73" t="s">
        <v>9</v>
      </c>
      <c r="C3" s="74" t="s">
        <v>11</v>
      </c>
      <c r="D3" s="74" t="s">
        <v>10</v>
      </c>
      <c r="E3" s="74" t="s">
        <v>66</v>
      </c>
      <c r="F3" s="74" t="s">
        <v>67</v>
      </c>
      <c r="G3" s="74" t="s">
        <v>68</v>
      </c>
      <c r="H3" s="74" t="s">
        <v>19</v>
      </c>
      <c r="I3" s="75" t="s">
        <v>21</v>
      </c>
      <c r="J3" s="76" t="s">
        <v>22</v>
      </c>
      <c r="K3" s="72" t="s">
        <v>69</v>
      </c>
      <c r="L3" s="73" t="s">
        <v>70</v>
      </c>
      <c r="M3" s="77" t="s">
        <v>71</v>
      </c>
      <c r="N3" s="72" t="s">
        <v>72</v>
      </c>
      <c r="O3" s="73" t="s">
        <v>73</v>
      </c>
      <c r="P3" s="73" t="s">
        <v>26</v>
      </c>
      <c r="Q3" s="77" t="s">
        <v>27</v>
      </c>
      <c r="R3" s="77" t="s">
        <v>28</v>
      </c>
      <c r="S3" s="71"/>
      <c r="T3" s="71"/>
      <c r="U3" s="71"/>
      <c r="V3" s="71"/>
      <c r="W3" s="71"/>
      <c r="X3" s="71"/>
      <c r="Y3" s="71"/>
      <c r="Z3" s="71"/>
    </row>
    <row r="4">
      <c r="A4" s="78" t="s">
        <v>74</v>
      </c>
      <c r="B4" s="79" t="s">
        <v>30</v>
      </c>
      <c r="C4" s="80">
        <v>21.0</v>
      </c>
      <c r="D4" s="81">
        <v>4.0</v>
      </c>
      <c r="E4" s="81">
        <v>12.0</v>
      </c>
      <c r="F4" s="81">
        <v>0.0</v>
      </c>
      <c r="G4" s="81">
        <v>1.0</v>
      </c>
      <c r="H4" s="81">
        <v>1.0</v>
      </c>
      <c r="I4" s="81">
        <v>0.0</v>
      </c>
      <c r="J4" s="42">
        <v>0.0</v>
      </c>
      <c r="K4" s="82">
        <v>1.0</v>
      </c>
      <c r="L4" s="42">
        <v>0.0</v>
      </c>
      <c r="M4" s="83">
        <v>3.0</v>
      </c>
      <c r="N4" s="82">
        <v>0.0</v>
      </c>
      <c r="O4" s="42">
        <v>0.0</v>
      </c>
      <c r="P4" s="42">
        <v>0.0</v>
      </c>
      <c r="Q4" s="83">
        <v>13.0</v>
      </c>
      <c r="R4" s="84">
        <f t="shared" ref="R4:R13" si="1">C4*$C$2+D4*$D$2+E4*$E$2+F4*$F$2+G4*$G$2+H4*$H$2+K4*$K$2+L4*$L$2+M4*$M$2+N4*$N$2+O4*$O$2+P4*$P$2+Q4*$Q$2+I4*$I$2+J4*$J$2</f>
        <v>3450</v>
      </c>
    </row>
    <row r="5">
      <c r="A5" s="85" t="s">
        <v>75</v>
      </c>
      <c r="B5" s="79" t="s">
        <v>32</v>
      </c>
      <c r="C5" s="82">
        <v>17.0</v>
      </c>
      <c r="D5" s="42">
        <v>4.0</v>
      </c>
      <c r="E5" s="42">
        <v>8.0</v>
      </c>
      <c r="F5" s="42">
        <v>1.0</v>
      </c>
      <c r="G5" s="42">
        <v>0.0</v>
      </c>
      <c r="H5" s="81">
        <v>0.0</v>
      </c>
      <c r="I5" s="42">
        <v>0.0</v>
      </c>
      <c r="J5" s="42">
        <v>0.0</v>
      </c>
      <c r="K5" s="82">
        <v>2.0</v>
      </c>
      <c r="L5" s="42">
        <v>1.0</v>
      </c>
      <c r="M5" s="83">
        <v>0.0</v>
      </c>
      <c r="N5" s="82">
        <v>0.0</v>
      </c>
      <c r="O5" s="42">
        <v>0.0</v>
      </c>
      <c r="P5" s="42">
        <v>1.0</v>
      </c>
      <c r="Q5" s="83">
        <v>7.0</v>
      </c>
      <c r="R5" s="84">
        <f t="shared" si="1"/>
        <v>2505</v>
      </c>
    </row>
    <row r="6">
      <c r="A6" s="78" t="s">
        <v>76</v>
      </c>
      <c r="B6" s="42" t="s">
        <v>32</v>
      </c>
      <c r="C6" s="82">
        <v>16.0</v>
      </c>
      <c r="D6" s="42">
        <v>5.0</v>
      </c>
      <c r="E6" s="42">
        <v>12.0</v>
      </c>
      <c r="F6" s="42">
        <v>0.0</v>
      </c>
      <c r="G6" s="42">
        <v>1.0</v>
      </c>
      <c r="H6" s="81">
        <v>0.0</v>
      </c>
      <c r="I6" s="81">
        <v>0.0</v>
      </c>
      <c r="J6" s="42">
        <v>1.0</v>
      </c>
      <c r="K6" s="82">
        <v>0.0</v>
      </c>
      <c r="L6" s="42">
        <v>0.0</v>
      </c>
      <c r="M6" s="83">
        <v>0.0</v>
      </c>
      <c r="N6" s="82">
        <v>0.0</v>
      </c>
      <c r="O6" s="42">
        <v>0.0</v>
      </c>
      <c r="P6" s="42">
        <v>1.0</v>
      </c>
      <c r="Q6" s="83">
        <v>11.0</v>
      </c>
      <c r="R6" s="84">
        <f t="shared" si="1"/>
        <v>2295</v>
      </c>
    </row>
    <row r="7">
      <c r="A7" s="78" t="s">
        <v>77</v>
      </c>
      <c r="B7" s="42" t="s">
        <v>32</v>
      </c>
      <c r="C7" s="82">
        <v>15.0</v>
      </c>
      <c r="D7" s="42">
        <v>6.0</v>
      </c>
      <c r="E7" s="42">
        <v>10.0</v>
      </c>
      <c r="F7" s="42">
        <v>0.0</v>
      </c>
      <c r="G7" s="42">
        <v>0.0</v>
      </c>
      <c r="H7" s="81">
        <v>0.0</v>
      </c>
      <c r="I7" s="81">
        <v>1.0</v>
      </c>
      <c r="J7" s="42">
        <v>0.0</v>
      </c>
      <c r="K7" s="82">
        <v>1.0</v>
      </c>
      <c r="L7" s="42">
        <v>0.0</v>
      </c>
      <c r="M7" s="83">
        <v>0.0</v>
      </c>
      <c r="N7" s="82">
        <v>0.0</v>
      </c>
      <c r="O7" s="42">
        <v>0.0</v>
      </c>
      <c r="P7" s="42">
        <v>1.0</v>
      </c>
      <c r="Q7" s="83">
        <v>11.0</v>
      </c>
      <c r="R7" s="84">
        <f t="shared" si="1"/>
        <v>2115</v>
      </c>
    </row>
    <row r="8">
      <c r="A8" s="86" t="s">
        <v>78</v>
      </c>
      <c r="B8" s="79" t="s">
        <v>30</v>
      </c>
      <c r="C8" s="82">
        <v>13.0</v>
      </c>
      <c r="D8" s="42">
        <v>5.0</v>
      </c>
      <c r="E8" s="42">
        <v>10.0</v>
      </c>
      <c r="F8" s="42">
        <v>0.0</v>
      </c>
      <c r="G8" s="42">
        <v>0.0</v>
      </c>
      <c r="H8" s="81">
        <v>0.0</v>
      </c>
      <c r="I8" s="81">
        <v>2.0</v>
      </c>
      <c r="J8" s="42">
        <v>0.0</v>
      </c>
      <c r="K8" s="82">
        <v>0.0</v>
      </c>
      <c r="L8" s="42">
        <v>1.0</v>
      </c>
      <c r="M8" s="83">
        <v>0.0</v>
      </c>
      <c r="N8" s="82">
        <v>0.0</v>
      </c>
      <c r="O8" s="42">
        <v>0.0</v>
      </c>
      <c r="P8" s="42">
        <v>0.0</v>
      </c>
      <c r="Q8" s="83">
        <v>13.0</v>
      </c>
      <c r="R8" s="84">
        <f t="shared" si="1"/>
        <v>2055</v>
      </c>
    </row>
    <row r="9">
      <c r="A9" s="85" t="s">
        <v>79</v>
      </c>
      <c r="B9" s="42" t="s">
        <v>32</v>
      </c>
      <c r="C9" s="82">
        <v>17.0</v>
      </c>
      <c r="D9" s="42">
        <v>7.0</v>
      </c>
      <c r="E9" s="42">
        <v>9.0</v>
      </c>
      <c r="F9" s="42">
        <v>1.0</v>
      </c>
      <c r="G9" s="42">
        <v>0.0</v>
      </c>
      <c r="H9" s="81">
        <v>0.0</v>
      </c>
      <c r="I9" s="81">
        <v>0.0</v>
      </c>
      <c r="J9" s="42">
        <v>0.0</v>
      </c>
      <c r="K9" s="82">
        <v>0.0</v>
      </c>
      <c r="L9" s="42">
        <v>0.0</v>
      </c>
      <c r="M9" s="83">
        <v>0.0</v>
      </c>
      <c r="N9" s="82">
        <v>0.0</v>
      </c>
      <c r="O9" s="42">
        <v>0.0</v>
      </c>
      <c r="P9" s="42">
        <v>0.0</v>
      </c>
      <c r="Q9" s="83">
        <v>8.0</v>
      </c>
      <c r="R9" s="84">
        <f t="shared" si="1"/>
        <v>1935</v>
      </c>
    </row>
    <row r="10">
      <c r="A10" s="86" t="s">
        <v>80</v>
      </c>
      <c r="B10" s="42" t="s">
        <v>30</v>
      </c>
      <c r="C10" s="82">
        <v>14.0</v>
      </c>
      <c r="D10" s="42">
        <v>7.0</v>
      </c>
      <c r="E10" s="42">
        <v>4.0</v>
      </c>
      <c r="F10" s="42">
        <v>0.0</v>
      </c>
      <c r="G10" s="42">
        <v>2.0</v>
      </c>
      <c r="H10" s="81">
        <v>1.0</v>
      </c>
      <c r="I10" s="42">
        <v>0.0</v>
      </c>
      <c r="J10" s="42">
        <v>0.0</v>
      </c>
      <c r="K10" s="82">
        <v>0.0</v>
      </c>
      <c r="L10" s="42">
        <v>0.0</v>
      </c>
      <c r="M10" s="83">
        <v>0.0</v>
      </c>
      <c r="N10" s="82">
        <v>0.0</v>
      </c>
      <c r="O10" s="42">
        <v>0.0</v>
      </c>
      <c r="P10" s="42">
        <v>1.0</v>
      </c>
      <c r="Q10" s="83">
        <v>11.0</v>
      </c>
      <c r="R10" s="84">
        <f t="shared" si="1"/>
        <v>1785</v>
      </c>
    </row>
    <row r="11">
      <c r="A11" s="86" t="s">
        <v>81</v>
      </c>
      <c r="B11" s="42" t="s">
        <v>30</v>
      </c>
      <c r="C11" s="82">
        <v>13.0</v>
      </c>
      <c r="D11" s="42">
        <v>10.0</v>
      </c>
      <c r="E11" s="42">
        <v>9.0</v>
      </c>
      <c r="F11" s="42">
        <v>0.0</v>
      </c>
      <c r="G11" s="42">
        <v>0.0</v>
      </c>
      <c r="H11" s="81">
        <v>0.0</v>
      </c>
      <c r="I11" s="81">
        <v>0.0</v>
      </c>
      <c r="J11" s="42">
        <v>1.0</v>
      </c>
      <c r="K11" s="82">
        <v>1.0</v>
      </c>
      <c r="L11" s="42">
        <v>0.0</v>
      </c>
      <c r="M11" s="83">
        <v>0.0</v>
      </c>
      <c r="N11" s="82">
        <v>0.0</v>
      </c>
      <c r="O11" s="42">
        <v>0.0</v>
      </c>
      <c r="P11" s="42">
        <v>1.0</v>
      </c>
      <c r="Q11" s="83">
        <v>12.0</v>
      </c>
      <c r="R11" s="84">
        <f t="shared" si="1"/>
        <v>1770</v>
      </c>
    </row>
    <row r="12">
      <c r="A12" s="86" t="s">
        <v>82</v>
      </c>
      <c r="B12" s="42" t="s">
        <v>30</v>
      </c>
      <c r="C12" s="82">
        <v>15.0</v>
      </c>
      <c r="D12" s="42">
        <v>8.0</v>
      </c>
      <c r="E12" s="42">
        <v>8.0</v>
      </c>
      <c r="F12" s="42">
        <v>0.0</v>
      </c>
      <c r="G12" s="42">
        <v>0.0</v>
      </c>
      <c r="H12" s="81">
        <v>1.0</v>
      </c>
      <c r="I12" s="81">
        <v>0.0</v>
      </c>
      <c r="J12" s="42">
        <v>0.0</v>
      </c>
      <c r="K12" s="82">
        <v>0.0</v>
      </c>
      <c r="L12" s="42">
        <v>0.0</v>
      </c>
      <c r="M12" s="83">
        <v>0.0</v>
      </c>
      <c r="N12" s="82">
        <v>0.0</v>
      </c>
      <c r="O12" s="42">
        <v>0.0</v>
      </c>
      <c r="P12" s="42">
        <v>1.0</v>
      </c>
      <c r="Q12" s="83">
        <v>12.0</v>
      </c>
      <c r="R12" s="84">
        <f t="shared" si="1"/>
        <v>1740</v>
      </c>
    </row>
    <row r="13">
      <c r="A13" s="78" t="s">
        <v>83</v>
      </c>
      <c r="B13" s="42" t="s">
        <v>32</v>
      </c>
      <c r="C13" s="82">
        <v>14.0</v>
      </c>
      <c r="D13" s="42">
        <v>7.0</v>
      </c>
      <c r="E13" s="42">
        <v>8.0</v>
      </c>
      <c r="F13" s="42">
        <v>1.0</v>
      </c>
      <c r="G13" s="42">
        <v>0.0</v>
      </c>
      <c r="H13" s="81">
        <v>0.0</v>
      </c>
      <c r="I13" s="81">
        <v>0.0</v>
      </c>
      <c r="J13" s="42">
        <v>0.0</v>
      </c>
      <c r="K13" s="82">
        <v>0.0</v>
      </c>
      <c r="L13" s="42">
        <v>0.0</v>
      </c>
      <c r="M13" s="83">
        <v>0.0</v>
      </c>
      <c r="N13" s="82">
        <v>0.0</v>
      </c>
      <c r="O13" s="42">
        <v>0.0</v>
      </c>
      <c r="P13" s="42">
        <v>1.0</v>
      </c>
      <c r="Q13" s="83">
        <v>10.0</v>
      </c>
      <c r="R13" s="84">
        <f t="shared" si="1"/>
        <v>1740</v>
      </c>
    </row>
    <row r="14">
      <c r="A14" s="87" t="s">
        <v>84</v>
      </c>
      <c r="B14" s="42" t="s">
        <v>32</v>
      </c>
      <c r="C14" s="82">
        <v>17.0</v>
      </c>
      <c r="D14" s="42">
        <v>9.0</v>
      </c>
      <c r="E14" s="42">
        <v>6.0</v>
      </c>
      <c r="F14" s="42">
        <v>0.0</v>
      </c>
      <c r="G14" s="42">
        <v>0.0</v>
      </c>
      <c r="H14" s="81">
        <v>0.0</v>
      </c>
      <c r="I14" s="42">
        <v>0.0</v>
      </c>
      <c r="J14" s="42">
        <v>0.0</v>
      </c>
      <c r="K14" s="82">
        <v>0.0</v>
      </c>
      <c r="L14" s="42">
        <v>0.0</v>
      </c>
      <c r="M14" s="83">
        <v>0.0</v>
      </c>
      <c r="N14" s="82">
        <v>0.0</v>
      </c>
      <c r="O14" s="42">
        <v>0.0</v>
      </c>
      <c r="P14" s="42">
        <v>1.0</v>
      </c>
      <c r="Q14" s="83">
        <v>11.0</v>
      </c>
      <c r="R14" s="84">
        <f>C14*$C$2+D14*$D$2+E14*$E$2+F14*$F$2+G14*$G$2+H14*$H$2+K14*$K$2+L14*$L$2+M14*$M$2+N14*$N$2+O14*$O$2+P14*$P$2+Q14*$Q$2</f>
        <v>1725</v>
      </c>
    </row>
    <row r="15">
      <c r="A15" s="88" t="s">
        <v>85</v>
      </c>
      <c r="B15" s="42" t="s">
        <v>30</v>
      </c>
      <c r="C15" s="82">
        <v>14.0</v>
      </c>
      <c r="D15" s="42">
        <v>7.0</v>
      </c>
      <c r="E15" s="42">
        <v>8.0</v>
      </c>
      <c r="F15" s="42">
        <v>0.0</v>
      </c>
      <c r="G15" s="42">
        <v>0.0</v>
      </c>
      <c r="H15" s="81">
        <v>1.0</v>
      </c>
      <c r="I15" s="81">
        <v>0.0</v>
      </c>
      <c r="J15" s="42">
        <v>0.0</v>
      </c>
      <c r="K15" s="82">
        <v>0.0</v>
      </c>
      <c r="L15" s="42">
        <v>0.0</v>
      </c>
      <c r="M15" s="83">
        <v>0.0</v>
      </c>
      <c r="N15" s="82">
        <v>0.0</v>
      </c>
      <c r="O15" s="42">
        <v>0.0</v>
      </c>
      <c r="P15" s="42">
        <v>1.0</v>
      </c>
      <c r="Q15" s="83">
        <v>12.0</v>
      </c>
      <c r="R15" s="84">
        <f t="shared" ref="R15:R35" si="2">C15*$C$2+D15*$D$2+E15*$E$2+F15*$F$2+G15*$G$2+H15*$H$2+K15*$K$2+L15*$L$2+M15*$M$2+N15*$N$2+O15*$O$2+P15*$P$2+Q15*$Q$2+I15*$I$2+J15*$J$2</f>
        <v>1695</v>
      </c>
    </row>
    <row r="16">
      <c r="A16" s="85" t="s">
        <v>86</v>
      </c>
      <c r="B16" s="42" t="s">
        <v>30</v>
      </c>
      <c r="C16" s="82">
        <v>14.0</v>
      </c>
      <c r="D16" s="42">
        <v>4.0</v>
      </c>
      <c r="E16" s="42">
        <v>4.0</v>
      </c>
      <c r="F16" s="42">
        <v>0.0</v>
      </c>
      <c r="G16" s="42">
        <v>0.0</v>
      </c>
      <c r="H16" s="81">
        <v>0.0</v>
      </c>
      <c r="I16" s="81">
        <v>0.0</v>
      </c>
      <c r="J16" s="42">
        <v>0.0</v>
      </c>
      <c r="K16" s="82">
        <v>0.0</v>
      </c>
      <c r="L16" s="42">
        <v>0.0</v>
      </c>
      <c r="M16" s="83">
        <v>0.0</v>
      </c>
      <c r="N16" s="82">
        <v>0.0</v>
      </c>
      <c r="O16" s="42">
        <v>0.0</v>
      </c>
      <c r="P16" s="42">
        <v>1.0</v>
      </c>
      <c r="Q16" s="83">
        <v>11.0</v>
      </c>
      <c r="R16" s="84">
        <f t="shared" si="2"/>
        <v>1530</v>
      </c>
    </row>
    <row r="17">
      <c r="A17" s="86" t="s">
        <v>87</v>
      </c>
      <c r="B17" s="42" t="s">
        <v>30</v>
      </c>
      <c r="C17" s="82">
        <v>15.0</v>
      </c>
      <c r="D17" s="42">
        <v>11.0</v>
      </c>
      <c r="E17" s="42">
        <v>5.0</v>
      </c>
      <c r="F17" s="42">
        <v>0.0</v>
      </c>
      <c r="G17" s="42">
        <v>0.0</v>
      </c>
      <c r="H17" s="81">
        <v>1.0</v>
      </c>
      <c r="I17" s="42">
        <v>1.0</v>
      </c>
      <c r="J17" s="42">
        <v>0.0</v>
      </c>
      <c r="K17" s="82">
        <v>0.0</v>
      </c>
      <c r="L17" s="42">
        <v>0.0</v>
      </c>
      <c r="M17" s="83">
        <v>0.0</v>
      </c>
      <c r="N17" s="82">
        <v>0.0</v>
      </c>
      <c r="O17" s="42">
        <v>0.0</v>
      </c>
      <c r="P17" s="42">
        <v>0.0</v>
      </c>
      <c r="Q17" s="83">
        <v>12.0</v>
      </c>
      <c r="R17" s="84">
        <f t="shared" si="2"/>
        <v>1470</v>
      </c>
    </row>
    <row r="18">
      <c r="A18" s="89" t="s">
        <v>88</v>
      </c>
      <c r="B18" s="42" t="s">
        <v>30</v>
      </c>
      <c r="C18" s="82">
        <v>13.0</v>
      </c>
      <c r="D18" s="42">
        <v>9.0</v>
      </c>
      <c r="E18" s="42">
        <v>4.0</v>
      </c>
      <c r="F18" s="42">
        <v>1.0</v>
      </c>
      <c r="G18" s="42">
        <v>0.0</v>
      </c>
      <c r="H18" s="81">
        <v>0.0</v>
      </c>
      <c r="I18" s="42">
        <v>0.0</v>
      </c>
      <c r="J18" s="42">
        <v>0.0</v>
      </c>
      <c r="K18" s="82">
        <v>0.0</v>
      </c>
      <c r="L18" s="42">
        <v>0.0</v>
      </c>
      <c r="M18" s="83">
        <v>0.0</v>
      </c>
      <c r="N18" s="82">
        <v>0.0</v>
      </c>
      <c r="O18" s="42">
        <v>0.0</v>
      </c>
      <c r="P18" s="42">
        <v>1.0</v>
      </c>
      <c r="Q18" s="83">
        <v>11.0</v>
      </c>
      <c r="R18" s="84">
        <f t="shared" si="2"/>
        <v>1395</v>
      </c>
    </row>
    <row r="19">
      <c r="A19" s="78" t="s">
        <v>89</v>
      </c>
      <c r="B19" s="42" t="s">
        <v>30</v>
      </c>
      <c r="C19" s="82">
        <v>11.0</v>
      </c>
      <c r="D19" s="42">
        <v>5.0</v>
      </c>
      <c r="E19" s="42">
        <v>4.0</v>
      </c>
      <c r="F19" s="42">
        <v>1.0</v>
      </c>
      <c r="G19" s="42">
        <v>0.0</v>
      </c>
      <c r="H19" s="81">
        <v>0.0</v>
      </c>
      <c r="I19" s="42">
        <v>0.0</v>
      </c>
      <c r="J19" s="42">
        <v>0.0</v>
      </c>
      <c r="K19" s="82">
        <v>0.0</v>
      </c>
      <c r="L19" s="42">
        <v>0.0</v>
      </c>
      <c r="M19" s="83">
        <v>0.0</v>
      </c>
      <c r="N19" s="82">
        <v>0.0</v>
      </c>
      <c r="O19" s="42">
        <v>0.0</v>
      </c>
      <c r="P19" s="42">
        <v>0.0</v>
      </c>
      <c r="Q19" s="83">
        <v>12.0</v>
      </c>
      <c r="R19" s="84">
        <f t="shared" si="2"/>
        <v>1365</v>
      </c>
    </row>
    <row r="20">
      <c r="A20" s="87" t="s">
        <v>90</v>
      </c>
      <c r="B20" s="42" t="s">
        <v>32</v>
      </c>
      <c r="C20" s="82">
        <v>10.0</v>
      </c>
      <c r="D20" s="42">
        <v>6.0</v>
      </c>
      <c r="E20" s="42">
        <v>7.0</v>
      </c>
      <c r="F20" s="42">
        <v>0.0</v>
      </c>
      <c r="G20" s="42">
        <v>0.0</v>
      </c>
      <c r="H20" s="81">
        <v>0.0</v>
      </c>
      <c r="I20" s="81">
        <v>0.0</v>
      </c>
      <c r="J20" s="42">
        <v>0.0</v>
      </c>
      <c r="K20" s="82">
        <v>0.0</v>
      </c>
      <c r="L20" s="42">
        <v>0.0</v>
      </c>
      <c r="M20" s="83">
        <v>0.0</v>
      </c>
      <c r="N20" s="82">
        <v>0.0</v>
      </c>
      <c r="O20" s="42">
        <v>0.0</v>
      </c>
      <c r="P20" s="42">
        <v>0.0</v>
      </c>
      <c r="Q20" s="83">
        <v>11.0</v>
      </c>
      <c r="R20" s="84">
        <f t="shared" si="2"/>
        <v>1320</v>
      </c>
    </row>
    <row r="21">
      <c r="A21" s="78" t="s">
        <v>91</v>
      </c>
      <c r="B21" s="42" t="s">
        <v>32</v>
      </c>
      <c r="C21" s="82">
        <v>11.0</v>
      </c>
      <c r="D21" s="42">
        <v>11.0</v>
      </c>
      <c r="E21" s="42">
        <v>8.0</v>
      </c>
      <c r="F21" s="42">
        <v>0.0</v>
      </c>
      <c r="G21" s="42">
        <v>0.0</v>
      </c>
      <c r="H21" s="81">
        <v>1.0</v>
      </c>
      <c r="I21" s="81">
        <v>0.0</v>
      </c>
      <c r="J21" s="42">
        <v>1.0</v>
      </c>
      <c r="K21" s="82">
        <v>0.0</v>
      </c>
      <c r="L21" s="42">
        <v>0.0</v>
      </c>
      <c r="M21" s="83">
        <v>0.0</v>
      </c>
      <c r="N21" s="82">
        <v>0.0</v>
      </c>
      <c r="O21" s="42">
        <v>0.0</v>
      </c>
      <c r="P21" s="42">
        <v>0.0</v>
      </c>
      <c r="Q21" s="83">
        <v>11.0</v>
      </c>
      <c r="R21" s="84">
        <f t="shared" si="2"/>
        <v>1275</v>
      </c>
    </row>
    <row r="22">
      <c r="A22" s="87" t="s">
        <v>92</v>
      </c>
      <c r="B22" s="42" t="s">
        <v>30</v>
      </c>
      <c r="C22" s="82">
        <v>9.0</v>
      </c>
      <c r="D22" s="42">
        <v>9.0</v>
      </c>
      <c r="E22" s="42">
        <v>7.0</v>
      </c>
      <c r="F22" s="42">
        <v>0.0</v>
      </c>
      <c r="G22" s="42">
        <v>0.0</v>
      </c>
      <c r="H22" s="81">
        <v>0.0</v>
      </c>
      <c r="I22" s="81">
        <v>1.0</v>
      </c>
      <c r="J22" s="42">
        <v>0.0</v>
      </c>
      <c r="K22" s="82">
        <v>0.0</v>
      </c>
      <c r="L22" s="42">
        <v>0.0</v>
      </c>
      <c r="M22" s="83">
        <v>0.0</v>
      </c>
      <c r="N22" s="82">
        <v>0.0</v>
      </c>
      <c r="O22" s="42">
        <v>0.0</v>
      </c>
      <c r="P22" s="42">
        <v>1.0</v>
      </c>
      <c r="Q22" s="83">
        <v>12.0</v>
      </c>
      <c r="R22" s="84">
        <f t="shared" si="2"/>
        <v>1245</v>
      </c>
    </row>
    <row r="23">
      <c r="A23" s="87" t="s">
        <v>93</v>
      </c>
      <c r="B23" s="42" t="s">
        <v>30</v>
      </c>
      <c r="C23" s="82">
        <v>7.0</v>
      </c>
      <c r="D23" s="42">
        <v>4.0</v>
      </c>
      <c r="E23" s="42">
        <v>5.0</v>
      </c>
      <c r="F23" s="42">
        <v>0.0</v>
      </c>
      <c r="G23" s="42">
        <v>1.0</v>
      </c>
      <c r="H23" s="81">
        <v>0.0</v>
      </c>
      <c r="I23" s="42">
        <v>0.0</v>
      </c>
      <c r="J23" s="42">
        <v>0.0</v>
      </c>
      <c r="K23" s="82">
        <v>0.0</v>
      </c>
      <c r="L23" s="42">
        <v>0.0</v>
      </c>
      <c r="M23" s="83">
        <v>0.0</v>
      </c>
      <c r="N23" s="82">
        <v>0.0</v>
      </c>
      <c r="O23" s="42">
        <v>0.0</v>
      </c>
      <c r="P23" s="42">
        <v>1.0</v>
      </c>
      <c r="Q23" s="83">
        <v>11.0</v>
      </c>
      <c r="R23" s="84">
        <f t="shared" si="2"/>
        <v>1245</v>
      </c>
    </row>
    <row r="24">
      <c r="A24" s="89" t="s">
        <v>94</v>
      </c>
      <c r="B24" s="79" t="s">
        <v>32</v>
      </c>
      <c r="C24" s="82">
        <v>12.0</v>
      </c>
      <c r="D24" s="42">
        <v>8.0</v>
      </c>
      <c r="E24" s="42">
        <v>3.0</v>
      </c>
      <c r="F24" s="42">
        <v>0.0</v>
      </c>
      <c r="G24" s="42">
        <v>0.0</v>
      </c>
      <c r="H24" s="81">
        <v>1.0</v>
      </c>
      <c r="I24" s="42">
        <v>0.0</v>
      </c>
      <c r="J24" s="42">
        <v>1.0</v>
      </c>
      <c r="K24" s="82">
        <v>0.0</v>
      </c>
      <c r="L24" s="42">
        <v>0.0</v>
      </c>
      <c r="M24" s="83">
        <v>0.0</v>
      </c>
      <c r="N24" s="82">
        <v>0.0</v>
      </c>
      <c r="O24" s="42">
        <v>0.0</v>
      </c>
      <c r="P24" s="42">
        <v>1.0</v>
      </c>
      <c r="Q24" s="83">
        <v>12.0</v>
      </c>
      <c r="R24" s="84">
        <f t="shared" si="2"/>
        <v>1200</v>
      </c>
    </row>
    <row r="25">
      <c r="A25" s="86" t="s">
        <v>95</v>
      </c>
      <c r="B25" s="42" t="s">
        <v>30</v>
      </c>
      <c r="C25" s="82">
        <v>9.0</v>
      </c>
      <c r="D25" s="42">
        <v>6.0</v>
      </c>
      <c r="E25" s="42">
        <v>5.0</v>
      </c>
      <c r="F25" s="42">
        <v>0.0</v>
      </c>
      <c r="G25" s="42">
        <v>0.0</v>
      </c>
      <c r="H25" s="81">
        <v>0.0</v>
      </c>
      <c r="I25" s="81">
        <v>0.0</v>
      </c>
      <c r="J25" s="42">
        <v>0.0</v>
      </c>
      <c r="K25" s="82">
        <v>0.0</v>
      </c>
      <c r="L25" s="42">
        <v>0.0</v>
      </c>
      <c r="M25" s="83">
        <v>0.0</v>
      </c>
      <c r="N25" s="82">
        <v>0.0</v>
      </c>
      <c r="O25" s="42">
        <v>0.0</v>
      </c>
      <c r="P25" s="42">
        <v>1.0</v>
      </c>
      <c r="Q25" s="83">
        <v>12.0</v>
      </c>
      <c r="R25" s="84">
        <f t="shared" si="2"/>
        <v>1185</v>
      </c>
    </row>
    <row r="26">
      <c r="A26" s="78" t="s">
        <v>96</v>
      </c>
      <c r="B26" s="42" t="s">
        <v>32</v>
      </c>
      <c r="C26" s="82">
        <v>12.0</v>
      </c>
      <c r="D26" s="42">
        <v>15.0</v>
      </c>
      <c r="E26" s="42">
        <v>5.0</v>
      </c>
      <c r="F26" s="42">
        <v>0.0</v>
      </c>
      <c r="G26" s="42">
        <v>0.0</v>
      </c>
      <c r="H26" s="81">
        <v>0.0</v>
      </c>
      <c r="I26" s="42">
        <v>0.0</v>
      </c>
      <c r="J26" s="42">
        <v>0.0</v>
      </c>
      <c r="K26" s="82">
        <v>0.0</v>
      </c>
      <c r="L26" s="42">
        <v>0.0</v>
      </c>
      <c r="M26" s="83">
        <v>0.0</v>
      </c>
      <c r="N26" s="82">
        <v>0.0</v>
      </c>
      <c r="O26" s="42">
        <v>0.0</v>
      </c>
      <c r="P26" s="42">
        <v>2.0</v>
      </c>
      <c r="Q26" s="83">
        <v>11.0</v>
      </c>
      <c r="R26" s="84">
        <f t="shared" si="2"/>
        <v>1140</v>
      </c>
    </row>
    <row r="27">
      <c r="A27" s="78" t="s">
        <v>97</v>
      </c>
      <c r="B27" s="42" t="s">
        <v>32</v>
      </c>
      <c r="C27" s="82">
        <v>11.0</v>
      </c>
      <c r="D27" s="42">
        <v>9.0</v>
      </c>
      <c r="E27" s="42">
        <v>1.0</v>
      </c>
      <c r="F27" s="42">
        <v>0.0</v>
      </c>
      <c r="G27" s="42">
        <v>0.0</v>
      </c>
      <c r="H27" s="81">
        <v>1.0</v>
      </c>
      <c r="I27" s="42">
        <v>0.0</v>
      </c>
      <c r="J27" s="42">
        <v>0.0</v>
      </c>
      <c r="K27" s="82">
        <v>0.0</v>
      </c>
      <c r="L27" s="42">
        <v>0.0</v>
      </c>
      <c r="M27" s="83">
        <v>0.0</v>
      </c>
      <c r="N27" s="82">
        <v>0.0</v>
      </c>
      <c r="O27" s="42">
        <v>0.0</v>
      </c>
      <c r="P27" s="42">
        <v>1.0</v>
      </c>
      <c r="Q27" s="83">
        <v>11.0</v>
      </c>
      <c r="R27" s="84">
        <f t="shared" si="2"/>
        <v>960</v>
      </c>
    </row>
    <row r="28">
      <c r="A28" s="78" t="s">
        <v>98</v>
      </c>
      <c r="B28" s="42" t="s">
        <v>32</v>
      </c>
      <c r="C28" s="82">
        <v>7.0</v>
      </c>
      <c r="D28" s="42">
        <v>11.0</v>
      </c>
      <c r="E28" s="42">
        <v>4.0</v>
      </c>
      <c r="F28" s="42">
        <v>0.0</v>
      </c>
      <c r="G28" s="42">
        <v>0.0</v>
      </c>
      <c r="H28" s="81">
        <v>0.0</v>
      </c>
      <c r="I28" s="42">
        <v>0.0</v>
      </c>
      <c r="J28" s="42">
        <v>0.0</v>
      </c>
      <c r="K28" s="82">
        <v>0.0</v>
      </c>
      <c r="L28" s="42">
        <v>0.0</v>
      </c>
      <c r="M28" s="83">
        <v>0.0</v>
      </c>
      <c r="N28" s="82">
        <v>0.0</v>
      </c>
      <c r="O28" s="42">
        <v>0.0</v>
      </c>
      <c r="P28" s="42">
        <v>1.0</v>
      </c>
      <c r="Q28" s="83">
        <v>11.0</v>
      </c>
      <c r="R28" s="84">
        <f t="shared" si="2"/>
        <v>795</v>
      </c>
    </row>
    <row r="29">
      <c r="A29" s="87" t="s">
        <v>99</v>
      </c>
      <c r="B29" s="79" t="s">
        <v>30</v>
      </c>
      <c r="C29" s="82">
        <v>7.0</v>
      </c>
      <c r="D29" s="42">
        <v>11.0</v>
      </c>
      <c r="E29" s="42">
        <v>4.0</v>
      </c>
      <c r="F29" s="42">
        <v>0.0</v>
      </c>
      <c r="G29" s="42">
        <v>0.0</v>
      </c>
      <c r="H29" s="81">
        <v>0.0</v>
      </c>
      <c r="I29" s="42">
        <v>0.0</v>
      </c>
      <c r="J29" s="42">
        <v>0.0</v>
      </c>
      <c r="K29" s="82">
        <v>0.0</v>
      </c>
      <c r="L29" s="42">
        <v>0.0</v>
      </c>
      <c r="M29" s="83">
        <v>0.0</v>
      </c>
      <c r="N29" s="82">
        <v>0.0</v>
      </c>
      <c r="O29" s="42">
        <v>0.0</v>
      </c>
      <c r="P29" s="42">
        <v>0.0</v>
      </c>
      <c r="Q29" s="83">
        <v>10.0</v>
      </c>
      <c r="R29" s="84">
        <f t="shared" si="2"/>
        <v>735</v>
      </c>
    </row>
    <row r="30">
      <c r="A30" s="82" t="s">
        <v>100</v>
      </c>
      <c r="B30" s="42" t="s">
        <v>30</v>
      </c>
      <c r="C30" s="82">
        <v>5.0</v>
      </c>
      <c r="D30" s="42">
        <v>11.0</v>
      </c>
      <c r="E30" s="42">
        <v>3.0</v>
      </c>
      <c r="F30" s="42">
        <v>1.0</v>
      </c>
      <c r="G30" s="42">
        <v>0.0</v>
      </c>
      <c r="H30" s="81">
        <v>0.0</v>
      </c>
      <c r="I30" s="42">
        <v>0.0</v>
      </c>
      <c r="J30" s="42">
        <v>0.0</v>
      </c>
      <c r="K30" s="82">
        <v>0.0</v>
      </c>
      <c r="L30" s="42">
        <v>0.0</v>
      </c>
      <c r="M30" s="83">
        <v>0.0</v>
      </c>
      <c r="N30" s="82">
        <v>0.0</v>
      </c>
      <c r="O30" s="42">
        <v>0.0</v>
      </c>
      <c r="P30" s="42">
        <v>1.0</v>
      </c>
      <c r="Q30" s="83">
        <v>12.0</v>
      </c>
      <c r="R30" s="84">
        <f t="shared" si="2"/>
        <v>705</v>
      </c>
    </row>
    <row r="31">
      <c r="A31" s="87" t="s">
        <v>101</v>
      </c>
      <c r="B31" s="79" t="s">
        <v>32</v>
      </c>
      <c r="C31" s="82">
        <v>5.0</v>
      </c>
      <c r="D31" s="42">
        <v>9.0</v>
      </c>
      <c r="E31" s="42">
        <v>0.0</v>
      </c>
      <c r="F31" s="42">
        <v>0.0</v>
      </c>
      <c r="G31" s="42">
        <v>0.0</v>
      </c>
      <c r="H31" s="81">
        <v>1.0</v>
      </c>
      <c r="I31" s="42">
        <v>0.0</v>
      </c>
      <c r="J31" s="42">
        <v>0.0</v>
      </c>
      <c r="K31" s="82">
        <v>0.0</v>
      </c>
      <c r="L31" s="42">
        <v>0.0</v>
      </c>
      <c r="M31" s="83">
        <v>0.0</v>
      </c>
      <c r="N31" s="82">
        <v>0.0</v>
      </c>
      <c r="O31" s="42">
        <v>0.0</v>
      </c>
      <c r="P31" s="42">
        <v>0.0</v>
      </c>
      <c r="Q31" s="83">
        <v>13.0</v>
      </c>
      <c r="R31" s="84">
        <f t="shared" si="2"/>
        <v>480</v>
      </c>
    </row>
    <row r="32">
      <c r="A32" s="78" t="s">
        <v>102</v>
      </c>
      <c r="B32" s="42" t="s">
        <v>32</v>
      </c>
      <c r="C32" s="82">
        <v>6.0</v>
      </c>
      <c r="D32" s="42">
        <v>14.0</v>
      </c>
      <c r="E32" s="42">
        <v>2.0</v>
      </c>
      <c r="F32" s="42">
        <v>0.0</v>
      </c>
      <c r="G32" s="42">
        <v>0.0</v>
      </c>
      <c r="H32" s="81">
        <v>2.0</v>
      </c>
      <c r="I32" s="81">
        <v>0.0</v>
      </c>
      <c r="J32" s="42">
        <v>0.0</v>
      </c>
      <c r="K32" s="82">
        <v>0.0</v>
      </c>
      <c r="L32" s="42">
        <v>0.0</v>
      </c>
      <c r="M32" s="83">
        <v>0.0</v>
      </c>
      <c r="N32" s="82">
        <v>0.0</v>
      </c>
      <c r="O32" s="42">
        <v>0.0</v>
      </c>
      <c r="P32" s="42">
        <v>0.0</v>
      </c>
      <c r="Q32" s="83">
        <v>11.0</v>
      </c>
      <c r="R32" s="84">
        <f t="shared" si="2"/>
        <v>450</v>
      </c>
    </row>
    <row r="33">
      <c r="A33" s="90" t="s">
        <v>103</v>
      </c>
      <c r="B33" s="91" t="s">
        <v>32</v>
      </c>
      <c r="C33" s="92">
        <v>5.0</v>
      </c>
      <c r="D33" s="91">
        <v>11.0</v>
      </c>
      <c r="E33" s="91">
        <v>1.0</v>
      </c>
      <c r="F33" s="91">
        <v>0.0</v>
      </c>
      <c r="G33" s="91">
        <v>0.0</v>
      </c>
      <c r="H33" s="81">
        <v>0.0</v>
      </c>
      <c r="I33" s="91">
        <v>0.0</v>
      </c>
      <c r="J33" s="42">
        <v>0.0</v>
      </c>
      <c r="K33" s="92">
        <v>0.0</v>
      </c>
      <c r="L33" s="91">
        <v>0.0</v>
      </c>
      <c r="M33" s="93">
        <v>0.0</v>
      </c>
      <c r="N33" s="92">
        <v>0.0</v>
      </c>
      <c r="O33" s="91">
        <v>0.0</v>
      </c>
      <c r="P33" s="91">
        <v>1.0</v>
      </c>
      <c r="Q33" s="93">
        <v>10.0</v>
      </c>
      <c r="R33" s="84">
        <f t="shared" si="2"/>
        <v>435</v>
      </c>
    </row>
    <row r="34">
      <c r="A34" s="90" t="s">
        <v>104</v>
      </c>
      <c r="B34" s="91" t="s">
        <v>32</v>
      </c>
      <c r="C34" s="92">
        <v>2.0</v>
      </c>
      <c r="D34" s="91">
        <v>1.0</v>
      </c>
      <c r="E34" s="91">
        <v>0.0</v>
      </c>
      <c r="F34" s="91">
        <v>0.0</v>
      </c>
      <c r="G34" s="91">
        <v>0.0</v>
      </c>
      <c r="H34" s="81">
        <v>0.0</v>
      </c>
      <c r="I34" s="91">
        <v>0.0</v>
      </c>
      <c r="J34" s="42">
        <v>0.0</v>
      </c>
      <c r="K34" s="92">
        <v>0.0</v>
      </c>
      <c r="L34" s="91">
        <v>0.0</v>
      </c>
      <c r="M34" s="93">
        <v>0.0</v>
      </c>
      <c r="N34" s="92">
        <v>0.0</v>
      </c>
      <c r="O34" s="91">
        <v>0.0</v>
      </c>
      <c r="P34" s="91">
        <v>0.0</v>
      </c>
      <c r="Q34" s="93">
        <v>10.0</v>
      </c>
      <c r="R34" s="84">
        <f t="shared" si="2"/>
        <v>420</v>
      </c>
    </row>
    <row r="35">
      <c r="A35" s="94" t="s">
        <v>105</v>
      </c>
      <c r="B35" s="95" t="s">
        <v>30</v>
      </c>
      <c r="C35" s="96">
        <v>0.0</v>
      </c>
      <c r="D35" s="54">
        <v>0.0</v>
      </c>
      <c r="E35" s="54">
        <v>0.0</v>
      </c>
      <c r="F35" s="54">
        <v>0.0</v>
      </c>
      <c r="G35" s="54">
        <v>0.0</v>
      </c>
      <c r="H35" s="97">
        <v>0.0</v>
      </c>
      <c r="I35" s="97">
        <v>0.0</v>
      </c>
      <c r="J35" s="54">
        <v>0.0</v>
      </c>
      <c r="K35" s="96">
        <v>0.0</v>
      </c>
      <c r="L35" s="54">
        <v>0.0</v>
      </c>
      <c r="M35" s="98">
        <v>0.0</v>
      </c>
      <c r="N35" s="96">
        <v>0.0</v>
      </c>
      <c r="O35" s="54">
        <v>0.0</v>
      </c>
      <c r="P35" s="54">
        <v>0.0</v>
      </c>
      <c r="Q35" s="98">
        <v>10.0</v>
      </c>
      <c r="R35" s="99">
        <f t="shared" si="2"/>
        <v>300</v>
      </c>
    </row>
  </sheetData>
  <autoFilter ref="$A$3:$R$35">
    <sortState ref="A3:R35">
      <sortCondition descending="1" ref="R3:R35"/>
      <sortCondition ref="A3:A35"/>
    </sortState>
  </autoFilter>
  <mergeCells count="5">
    <mergeCell ref="A1:B1"/>
    <mergeCell ref="C1:H1"/>
    <mergeCell ref="K1:M1"/>
    <mergeCell ref="N1:Q1"/>
    <mergeCell ref="A2:B2"/>
  </mergeCells>
  <conditionalFormatting sqref="R4:R3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5">
    <cfRule type="containsText" dxfId="0" priority="2" operator="containsText" text="B">
      <formula>NOT(ISERROR(SEARCH(("B"),(B4))))</formula>
    </cfRule>
  </conditionalFormatting>
  <conditionalFormatting sqref="B4:B35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