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ition Players" sheetId="1" r:id="rId5"/>
    <sheet state="visible" name="Pitchers" sheetId="2" r:id="rId6"/>
  </sheets>
  <definedNames>
    <definedName hidden="1" localSheetId="0" name="_xlnm._FilterDatabase">'Position Players'!$A$4:$U$38</definedName>
    <definedName hidden="1" localSheetId="1" name="_xlnm._FilterDatabase">Pitchers!$A$3:$R$37</definedName>
  </definedNames>
  <calcPr/>
</workbook>
</file>

<file path=xl/sharedStrings.xml><?xml version="1.0" encoding="utf-8"?>
<sst xmlns="http://schemas.openxmlformats.org/spreadsheetml/2006/main" count="190" uniqueCount="108">
  <si>
    <t>INCENTIVOS DSL 2026</t>
  </si>
  <si>
    <t>DAILY</t>
  </si>
  <si>
    <t>HITTING</t>
  </si>
  <si>
    <t>DEFENSE</t>
  </si>
  <si>
    <t>WEEKLY</t>
  </si>
  <si>
    <t>TEAM</t>
  </si>
  <si>
    <t>TEXAS RANGERS</t>
  </si>
  <si>
    <t>Pitchers</t>
  </si>
  <si>
    <t>Team</t>
  </si>
  <si>
    <t>K</t>
  </si>
  <si>
    <t>BB</t>
  </si>
  <si>
    <t>INN 0R</t>
  </si>
  <si>
    <t>15K</t>
  </si>
  <si>
    <t>3K in rows</t>
  </si>
  <si>
    <t>E</t>
  </si>
  <si>
    <t>Heads Up Play</t>
  </si>
  <si>
    <t>Mental Mistakes</t>
  </si>
  <si>
    <t>FB IZ%</t>
  </si>
  <si>
    <t>FPS%</t>
  </si>
  <si>
    <t>R2K%</t>
  </si>
  <si>
    <t>0R</t>
  </si>
  <si>
    <t>0H</t>
  </si>
  <si>
    <t>E0</t>
  </si>
  <si>
    <t>W</t>
  </si>
  <si>
    <t>$RD</t>
  </si>
  <si>
    <t>Silvestre, Jose</t>
  </si>
  <si>
    <t>R</t>
  </si>
  <si>
    <t>Actualización: 8/4/2026</t>
  </si>
  <si>
    <t>Medina, Juan</t>
  </si>
  <si>
    <t>B</t>
  </si>
  <si>
    <t>Players</t>
  </si>
  <si>
    <t>2H+</t>
  </si>
  <si>
    <t>EV100 FLY&amp;LD</t>
  </si>
  <si>
    <t>Avance 2 Bases</t>
  </si>
  <si>
    <t>Colmenares, Kevin</t>
  </si>
  <si>
    <t>1er/3er Out 3B</t>
  </si>
  <si>
    <t>SB</t>
  </si>
  <si>
    <t>Chase%</t>
  </si>
  <si>
    <t>HH%</t>
  </si>
  <si>
    <t>DP</t>
  </si>
  <si>
    <t>SL+</t>
  </si>
  <si>
    <t>H10+</t>
  </si>
  <si>
    <t>Chase% &lt; 20%</t>
  </si>
  <si>
    <t>Mateo, Cesar</t>
  </si>
  <si>
    <t>Roquez, Yadiel</t>
  </si>
  <si>
    <t>Santos, Aneudy</t>
  </si>
  <si>
    <t>Peralta, Eddy</t>
  </si>
  <si>
    <t>Celesten, Yeisy</t>
  </si>
  <si>
    <t>Gamez, Manuel</t>
  </si>
  <si>
    <t>Pineda, Frandel</t>
  </si>
  <si>
    <t>Rodriguez, Alex</t>
  </si>
  <si>
    <t>Gomez, Manuel</t>
  </si>
  <si>
    <t>Zayas, Saivel</t>
  </si>
  <si>
    <t>Dolsi, Frederik</t>
  </si>
  <si>
    <t>Lara, Carlos</t>
  </si>
  <si>
    <t>Castillo, Wesly</t>
  </si>
  <si>
    <t>Encarnacion, Jefferson</t>
  </si>
  <si>
    <t>Guerrero, Oliver</t>
  </si>
  <si>
    <t>Castillo, Albert</t>
  </si>
  <si>
    <t>Rosario, Elian</t>
  </si>
  <si>
    <t>Figuereo, Breyner</t>
  </si>
  <si>
    <t>Done, Carlos</t>
  </si>
  <si>
    <t>Ballesteros, Jean</t>
  </si>
  <si>
    <t>Flores, Jesus</t>
  </si>
  <si>
    <t>Alcantara, Jostin</t>
  </si>
  <si>
    <t>Ramos, Daniel</t>
  </si>
  <si>
    <t>Benitez, Frainker</t>
  </si>
  <si>
    <t>Liriano, Edgar</t>
  </si>
  <si>
    <t>Fernandez, Jehiber</t>
  </si>
  <si>
    <t>Jaquez, Luis</t>
  </si>
  <si>
    <t>Acosta, Isaac</t>
  </si>
  <si>
    <t>Perez, Juanangel</t>
  </si>
  <si>
    <t>Marcano, Jose</t>
  </si>
  <si>
    <t>Lamu, Alex</t>
  </si>
  <si>
    <t>Gonzalez, Victor</t>
  </si>
  <si>
    <t>Granado, Argenis</t>
  </si>
  <si>
    <t>Ramirez, Santiago</t>
  </si>
  <si>
    <t>Cordero, Albert</t>
  </si>
  <si>
    <t>Montero, Darling</t>
  </si>
  <si>
    <t>Pena, Dariel</t>
  </si>
  <si>
    <t>Genao, Jhostin</t>
  </si>
  <si>
    <t>Bautista, Jeyson</t>
  </si>
  <si>
    <t>De Jesus, Yunier</t>
  </si>
  <si>
    <t>Pereira, Raul</t>
  </si>
  <si>
    <t>Fernandez, Harley</t>
  </si>
  <si>
    <t>Alarcon, Rosnel</t>
  </si>
  <si>
    <t>Mendez, Eithan</t>
  </si>
  <si>
    <t>Diaz, David</t>
  </si>
  <si>
    <t>Albarez, Alex</t>
  </si>
  <si>
    <t>Valdes, Abel</t>
  </si>
  <si>
    <t>Gonzalez, Nestor</t>
  </si>
  <si>
    <t>Ramirez, Mauricio</t>
  </si>
  <si>
    <t>Simon, Jhon</t>
  </si>
  <si>
    <t>Bello, Abner</t>
  </si>
  <si>
    <t>Chavez, Jesus</t>
  </si>
  <si>
    <t>Acosta, Alex</t>
  </si>
  <si>
    <t>Pinder, Jayln</t>
  </si>
  <si>
    <t>Abreu, Ariel</t>
  </si>
  <si>
    <t>Volquez, Fabelin</t>
  </si>
  <si>
    <t>Mosqueda, Juan</t>
  </si>
  <si>
    <t>Rodriguez, Victor</t>
  </si>
  <si>
    <t>Santa, Fraimy</t>
  </si>
  <si>
    <t>Ortiz Jr, David</t>
  </si>
  <si>
    <t>Colina, Felix</t>
  </si>
  <si>
    <t>Coronado, Francisco</t>
  </si>
  <si>
    <t>Seminiel, Cristian</t>
  </si>
  <si>
    <t>Cedeno, Luis</t>
  </si>
  <si>
    <t>Rivas, Santiago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</si>
</sst>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1.0"/>
      <color rgb="FFFFFFFF"/>
      <name val="Arial"/>
    </font>
    <font>
      <b/>
      <color rgb="FFFFFFFF"/>
      <name val="Arial"/>
    </font>
    <font/>
    <font>
      <b/>
      <color rgb="FFFFFFFF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sz val="8.0"/>
      <color rgb="FFFFFFFF"/>
      <name val="Arial"/>
      <scheme val="minor"/>
    </font>
    <font>
      <sz val="11.0"/>
      <color theme="1"/>
      <name val="&quot;Tw Cen MT&quot;"/>
    </font>
    <font>
      <i/>
      <color rgb="FFFFFFFF"/>
      <name val="Arial"/>
      <scheme val="minor"/>
    </font>
    <font>
      <b/>
      <color theme="1"/>
      <name val="Arial"/>
      <scheme val="minor"/>
    </font>
    <font>
      <sz val="11.0"/>
      <color theme="1"/>
      <name val="Arial"/>
    </font>
    <font>
      <sz val="11.0"/>
      <color rgb="FF000000"/>
      <name val="&quot;Tw Cen MT&quot;"/>
    </font>
    <font>
      <sz val="11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03278"/>
        <bgColor rgb="FF003278"/>
      </patternFill>
    </fill>
    <fill>
      <patternFill patternType="solid">
        <fgColor theme="7"/>
        <bgColor theme="7"/>
      </patternFill>
    </fill>
    <fill>
      <patternFill patternType="solid">
        <fgColor rgb="FFC0111F"/>
        <bgColor rgb="FFC0111F"/>
      </patternFill>
    </fill>
    <fill>
      <patternFill patternType="solid">
        <fgColor rgb="FF34A853"/>
        <bgColor rgb="FF34A853"/>
      </patternFill>
    </fill>
    <fill>
      <patternFill patternType="solid">
        <fgColor rgb="FF857874"/>
        <bgColor rgb="FF857874"/>
      </patternFill>
    </fill>
    <fill>
      <patternFill patternType="solid">
        <fgColor rgb="FFFFFFFF"/>
        <bgColor rgb="FFFFFFFF"/>
      </patternFill>
    </fill>
  </fills>
  <borders count="37">
    <border/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top style="thin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2" numFmtId="0" xfId="0" applyAlignment="1" applyBorder="1" applyFont="1">
      <alignment horizontal="center" readingOrder="0" shrinkToFit="0" vertical="center" wrapText="0"/>
    </xf>
    <xf borderId="2" fillId="0" fontId="3" numFmtId="0" xfId="0" applyBorder="1" applyFont="1"/>
    <xf borderId="0" fillId="2" fontId="4" numFmtId="0" xfId="0" applyAlignment="1" applyFont="1">
      <alignment horizontal="center" readingOrder="0" vertical="center"/>
    </xf>
    <xf borderId="1" fillId="2" fontId="4" numFmtId="0" xfId="0" applyAlignment="1" applyBorder="1" applyFont="1">
      <alignment horizontal="center" readingOrder="0" vertical="center"/>
    </xf>
    <xf borderId="3" fillId="0" fontId="3" numFmtId="0" xfId="0" applyBorder="1" applyFont="1"/>
    <xf borderId="2" fillId="2" fontId="4" numFmtId="0" xfId="0" applyAlignment="1" applyBorder="1" applyFont="1">
      <alignment horizontal="center" readingOrder="0" vertical="center"/>
    </xf>
    <xf borderId="4" fillId="2" fontId="4" numFmtId="0" xfId="0" applyAlignment="1" applyBorder="1" applyFont="1">
      <alignment horizontal="center" readingOrder="0" vertical="center"/>
    </xf>
    <xf borderId="5" fillId="2" fontId="4" numFmtId="0" xfId="0" applyAlignment="1" applyBorder="1" applyFont="1">
      <alignment horizontal="center" readingOrder="0" vertical="center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5" numFmtId="0" xfId="0" applyAlignment="1" applyFont="1">
      <alignment horizontal="center" vertical="center"/>
    </xf>
    <xf borderId="10" fillId="2" fontId="1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/>
    </xf>
    <xf borderId="11" fillId="0" fontId="3" numFmtId="0" xfId="0" applyBorder="1" applyFont="1"/>
    <xf borderId="5" fillId="3" fontId="4" numFmtId="0" xfId="0" applyAlignment="1" applyBorder="1" applyFill="1" applyFont="1">
      <alignment horizontal="center" readingOrder="0" vertical="center"/>
    </xf>
    <xf borderId="7" fillId="4" fontId="4" numFmtId="0" xfId="0" applyAlignment="1" applyBorder="1" applyFill="1" applyFont="1">
      <alignment horizontal="center" readingOrder="0" vertical="center"/>
    </xf>
    <xf borderId="7" fillId="3" fontId="4" numFmtId="0" xfId="0" applyAlignment="1" applyBorder="1" applyFont="1">
      <alignment horizontal="center" readingOrder="0" vertical="center"/>
    </xf>
    <xf borderId="12" fillId="2" fontId="2" numFmtId="0" xfId="0" applyAlignment="1" applyBorder="1" applyFont="1">
      <alignment horizontal="center" readingOrder="0" vertical="center"/>
    </xf>
    <xf borderId="7" fillId="5" fontId="4" numFmtId="0" xfId="0" applyAlignment="1" applyBorder="1" applyFill="1" applyFont="1">
      <alignment horizontal="center" readingOrder="0" vertical="center"/>
    </xf>
    <xf borderId="13" fillId="0" fontId="3" numFmtId="0" xfId="0" applyBorder="1" applyFont="1"/>
    <xf borderId="9" fillId="4" fontId="4" numFmtId="0" xfId="0" applyAlignment="1" applyBorder="1" applyFont="1">
      <alignment horizontal="center" readingOrder="0" vertical="center"/>
    </xf>
    <xf borderId="0" fillId="3" fontId="4" numFmtId="0" xfId="0" applyAlignment="1" applyFont="1">
      <alignment horizontal="center" readingOrder="0" vertical="center"/>
    </xf>
    <xf borderId="13" fillId="3" fontId="4" numFmtId="0" xfId="0" applyAlignment="1" applyBorder="1" applyFont="1">
      <alignment horizontal="center" readingOrder="0" vertical="center"/>
    </xf>
    <xf borderId="12" fillId="3" fontId="4" numFmtId="0" xfId="0" applyAlignment="1" applyBorder="1" applyFont="1">
      <alignment horizontal="center" readingOrder="0" vertical="center"/>
    </xf>
    <xf borderId="14" fillId="3" fontId="4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/>
    </xf>
    <xf borderId="4" fillId="6" fontId="6" numFmtId="0" xfId="0" applyAlignment="1" applyBorder="1" applyFill="1" applyFont="1">
      <alignment horizontal="center" readingOrder="0" vertical="center"/>
    </xf>
    <xf borderId="6" fillId="6" fontId="6" numFmtId="0" xfId="0" applyAlignment="1" applyBorder="1" applyFont="1">
      <alignment horizontal="center" readingOrder="0" vertical="center"/>
    </xf>
    <xf borderId="0" fillId="6" fontId="6" numFmtId="0" xfId="0" applyAlignment="1" applyFont="1">
      <alignment horizontal="center" readingOrder="0" vertical="center"/>
    </xf>
    <xf borderId="0" fillId="6" fontId="7" numFmtId="0" xfId="0" applyAlignment="1" applyFont="1">
      <alignment horizontal="center" readingOrder="0" shrinkToFit="0" vertical="center" wrapText="1"/>
    </xf>
    <xf borderId="15" fillId="0" fontId="3" numFmtId="0" xfId="0" applyBorder="1" applyFont="1"/>
    <xf borderId="16" fillId="6" fontId="7" numFmtId="0" xfId="0" applyAlignment="1" applyBorder="1" applyFont="1">
      <alignment horizontal="center" readingOrder="0" shrinkToFit="0" vertical="center" wrapText="1"/>
    </xf>
    <xf borderId="16" fillId="2" fontId="4" numFmtId="0" xfId="0" applyAlignment="1" applyBorder="1" applyFont="1">
      <alignment horizontal="center" readingOrder="0" vertical="center"/>
    </xf>
    <xf borderId="8" fillId="6" fontId="6" numFmtId="0" xfId="0" applyAlignment="1" applyBorder="1" applyFont="1">
      <alignment horizontal="center" readingOrder="0" vertical="center"/>
    </xf>
    <xf borderId="17" fillId="0" fontId="3" numFmtId="0" xfId="0" applyBorder="1" applyFont="1"/>
    <xf borderId="16" fillId="0" fontId="3" numFmtId="0" xfId="0" applyBorder="1" applyFont="1"/>
    <xf borderId="18" fillId="0" fontId="3" numFmtId="0" xfId="0" applyBorder="1" applyFont="1"/>
    <xf borderId="19" fillId="0" fontId="8" numFmtId="0" xfId="0" applyAlignment="1" applyBorder="1" applyFont="1">
      <alignment horizontal="center" readingOrder="0" shrinkToFit="0" vertical="center" wrapText="0"/>
    </xf>
    <xf borderId="20" fillId="0" fontId="6" numFmtId="0" xfId="0" applyAlignment="1" applyBorder="1" applyFont="1">
      <alignment horizontal="center" readingOrder="0" vertical="center"/>
    </xf>
    <xf borderId="17" fillId="0" fontId="5" numFmtId="0" xfId="0" applyAlignment="1" applyBorder="1" applyFont="1">
      <alignment horizontal="center" readingOrder="0" vertical="center"/>
    </xf>
    <xf borderId="16" fillId="0" fontId="5" numFmtId="0" xfId="0" applyAlignment="1" applyBorder="1" applyFont="1">
      <alignment horizontal="center" readingOrder="0" vertical="center"/>
    </xf>
    <xf borderId="12" fillId="2" fontId="9" numFmtId="0" xfId="0" applyAlignment="1" applyBorder="1" applyFont="1">
      <alignment horizontal="center" readingOrder="0" vertical="center"/>
    </xf>
    <xf borderId="20" fillId="0" fontId="5" numFmtId="0" xfId="0" applyAlignment="1" applyBorder="1" applyFont="1">
      <alignment horizontal="center" readingOrder="0" vertical="center"/>
    </xf>
    <xf borderId="19" fillId="0" fontId="5" numFmtId="0" xfId="0" applyAlignment="1" applyBorder="1" applyFont="1">
      <alignment horizontal="center" readingOrder="0" vertical="center"/>
    </xf>
    <xf borderId="21" fillId="3" fontId="4" numFmtId="0" xfId="0" applyAlignment="1" applyBorder="1" applyFont="1">
      <alignment horizontal="center" readingOrder="0" vertical="center"/>
    </xf>
    <xf borderId="22" fillId="0" fontId="5" numFmtId="0" xfId="0" applyAlignment="1" applyBorder="1" applyFont="1">
      <alignment horizontal="center" readingOrder="0" vertical="center"/>
    </xf>
    <xf borderId="14" fillId="4" fontId="4" numFmtId="0" xfId="0" applyAlignment="1" applyBorder="1" applyFont="1">
      <alignment horizontal="center" readingOrder="0" vertical="center"/>
    </xf>
    <xf borderId="23" fillId="3" fontId="4" numFmtId="0" xfId="0" applyAlignment="1" applyBorder="1" applyFont="1">
      <alignment horizontal="center" readingOrder="0" vertical="center"/>
    </xf>
    <xf borderId="21" fillId="4" fontId="4" numFmtId="0" xfId="0" applyAlignment="1" applyBorder="1" applyFont="1">
      <alignment horizontal="center" readingOrder="0" vertical="center"/>
    </xf>
    <xf borderId="24" fillId="4" fontId="4" numFmtId="0" xfId="0" applyAlignment="1" applyBorder="1" applyFont="1">
      <alignment horizontal="center" readingOrder="0" vertical="center"/>
    </xf>
    <xf borderId="24" fillId="3" fontId="4" numFmtId="0" xfId="0" applyAlignment="1" applyBorder="1" applyFont="1">
      <alignment horizontal="center" readingOrder="0" vertical="center"/>
    </xf>
    <xf borderId="22" fillId="0" fontId="10" numFmtId="0" xfId="0" applyAlignment="1" applyBorder="1" applyFont="1">
      <alignment horizontal="center" vertical="center"/>
    </xf>
    <xf borderId="25" fillId="6" fontId="6" numFmtId="0" xfId="0" applyAlignment="1" applyBorder="1" applyFont="1">
      <alignment horizontal="center" readingOrder="0" vertical="center"/>
    </xf>
    <xf borderId="26" fillId="6" fontId="6" numFmtId="0" xfId="0" applyAlignment="1" applyBorder="1" applyFont="1">
      <alignment horizontal="center" readingOrder="0" vertical="center"/>
    </xf>
    <xf borderId="27" fillId="6" fontId="6" numFmtId="0" xfId="0" applyAlignment="1" applyBorder="1" applyFont="1">
      <alignment horizontal="center" readingOrder="0" vertical="center"/>
    </xf>
    <xf borderId="25" fillId="6" fontId="6" numFmtId="0" xfId="0" applyAlignment="1" applyBorder="1" applyFont="1">
      <alignment horizontal="center" readingOrder="0" shrinkToFit="0" vertical="center" wrapText="0"/>
    </xf>
    <xf borderId="25" fillId="6" fontId="7" numFmtId="0" xfId="0" applyAlignment="1" applyBorder="1" applyFont="1">
      <alignment horizontal="center" readingOrder="0" shrinkToFit="0" vertical="center" wrapText="1"/>
    </xf>
    <xf borderId="19" fillId="0" fontId="11" numFmtId="0" xfId="0" applyAlignment="1" applyBorder="1" applyFont="1">
      <alignment horizontal="center" readingOrder="0" shrinkToFit="0" vertical="center" wrapText="0"/>
    </xf>
    <xf borderId="28" fillId="6" fontId="6" numFmtId="0" xfId="0" applyAlignment="1" applyBorder="1" applyFont="1">
      <alignment horizontal="center" readingOrder="0" vertical="center"/>
    </xf>
    <xf borderId="20" fillId="6" fontId="6" numFmtId="0" xfId="0" applyAlignment="1" applyBorder="1" applyFont="1">
      <alignment horizontal="center" readingOrder="0" vertical="center"/>
    </xf>
    <xf borderId="29" fillId="6" fontId="6" numFmtId="0" xfId="0" applyAlignment="1" applyBorder="1" applyFont="1">
      <alignment horizontal="center" readingOrder="0" vertical="center"/>
    </xf>
    <xf borderId="29" fillId="2" fontId="6" numFmtId="0" xfId="0" applyAlignment="1" applyBorder="1" applyFont="1">
      <alignment horizontal="center" readingOrder="0" vertical="center"/>
    </xf>
    <xf borderId="25" fillId="7" fontId="8" numFmtId="0" xfId="0" applyAlignment="1" applyBorder="1" applyFill="1" applyFont="1">
      <alignment horizontal="center" readingOrder="0" shrinkToFit="0" vertical="center" wrapText="0"/>
    </xf>
    <xf borderId="26" fillId="0" fontId="5" numFmtId="0" xfId="0" applyAlignment="1" applyBorder="1" applyFont="1">
      <alignment horizontal="center" readingOrder="0" vertical="center"/>
    </xf>
    <xf borderId="27" fillId="0" fontId="5" numFmtId="0" xfId="0" applyAlignment="1" applyBorder="1" applyFont="1">
      <alignment horizontal="center" readingOrder="0" vertical="center"/>
    </xf>
    <xf borderId="19" fillId="7" fontId="8" numFmtId="0" xfId="0" applyAlignment="1" applyBorder="1" applyFont="1">
      <alignment horizontal="center" readingOrder="0" shrinkToFit="0" vertical="center" wrapText="0"/>
    </xf>
    <xf borderId="25" fillId="0" fontId="5" numFmtId="0" xfId="0" applyAlignment="1" applyBorder="1" applyFont="1">
      <alignment horizontal="center" readingOrder="0" vertical="center"/>
    </xf>
    <xf borderId="28" fillId="0" fontId="5" numFmtId="0" xfId="0" applyAlignment="1" applyBorder="1" applyFont="1">
      <alignment horizontal="center" readingOrder="0" vertical="center"/>
    </xf>
    <xf borderId="19" fillId="0" fontId="12" numFmtId="0" xfId="0" applyAlignment="1" applyBorder="1" applyFont="1">
      <alignment horizontal="center" readingOrder="0" shrinkToFit="0" vertical="center" wrapText="0"/>
    </xf>
    <xf borderId="29" fillId="0" fontId="5" numFmtId="0" xfId="0" applyAlignment="1" applyBorder="1" applyFont="1">
      <alignment horizontal="center" readingOrder="0" vertical="center"/>
    </xf>
    <xf borderId="29" fillId="0" fontId="10" numFmtId="0" xfId="0" applyAlignment="1" applyBorder="1" applyFont="1">
      <alignment horizontal="center" vertical="center"/>
    </xf>
    <xf borderId="25" fillId="7" fontId="12" numFmtId="0" xfId="0" applyAlignment="1" applyBorder="1" applyFont="1">
      <alignment horizontal="center" readingOrder="0" shrinkToFit="0" vertical="center" wrapText="0"/>
    </xf>
    <xf borderId="27" fillId="0" fontId="5" numFmtId="0" xfId="0" applyAlignment="1" applyBorder="1" applyFont="1">
      <alignment horizontal="center" readingOrder="0"/>
    </xf>
    <xf borderId="25" fillId="0" fontId="5" numFmtId="0" xfId="0" applyAlignment="1" applyBorder="1" applyFont="1">
      <alignment horizontal="center" readingOrder="0"/>
    </xf>
    <xf borderId="28" fillId="0" fontId="5" numFmtId="0" xfId="0" applyAlignment="1" applyBorder="1" applyFont="1">
      <alignment horizontal="center" readingOrder="0"/>
    </xf>
    <xf borderId="19" fillId="7" fontId="13" numFmtId="0" xfId="0" applyAlignment="1" applyBorder="1" applyFont="1">
      <alignment horizontal="center" readingOrder="0" shrinkToFit="0" vertical="center" wrapText="0"/>
    </xf>
    <xf borderId="25" fillId="0" fontId="12" numFmtId="0" xfId="0" applyAlignment="1" applyBorder="1" applyFont="1">
      <alignment horizontal="center" readingOrder="0" shrinkToFit="0" vertical="center" wrapText="0"/>
    </xf>
    <xf borderId="19" fillId="7" fontId="12" numFmtId="0" xfId="0" applyAlignment="1" applyBorder="1" applyFont="1">
      <alignment horizontal="center" readingOrder="0" shrinkToFit="0" vertical="center" wrapText="0"/>
    </xf>
    <xf borderId="26" fillId="0" fontId="6" numFmtId="0" xfId="0" applyAlignment="1" applyBorder="1" applyFont="1">
      <alignment horizontal="center" readingOrder="0" vertical="center"/>
    </xf>
    <xf borderId="25" fillId="0" fontId="8" numFmtId="0" xfId="0" applyAlignment="1" applyBorder="1" applyFont="1">
      <alignment horizontal="center" readingOrder="0" shrinkToFit="0" vertical="center" wrapText="0"/>
    </xf>
    <xf borderId="21" fillId="7" fontId="11" numFmtId="0" xfId="0" applyAlignment="1" applyBorder="1" applyFont="1">
      <alignment horizontal="center" readingOrder="0" shrinkToFit="0" vertical="center" wrapText="0"/>
    </xf>
    <xf borderId="14" fillId="0" fontId="6" numFmtId="0" xfId="0" applyAlignment="1" applyBorder="1" applyFont="1">
      <alignment horizontal="center" readingOrder="0" vertical="center"/>
    </xf>
    <xf borderId="21" fillId="0" fontId="5" numFmtId="0" xfId="0" applyAlignment="1" applyBorder="1" applyFont="1">
      <alignment horizontal="center" readingOrder="0" vertical="center"/>
    </xf>
    <xf borderId="14" fillId="0" fontId="5" numFmtId="0" xfId="0" applyAlignment="1" applyBorder="1" applyFont="1">
      <alignment horizontal="center" readingOrder="0" vertical="center"/>
    </xf>
    <xf borderId="23" fillId="0" fontId="5" numFmtId="0" xfId="0" applyAlignment="1" applyBorder="1" applyFont="1">
      <alignment horizontal="center" readingOrder="0" vertical="center"/>
    </xf>
    <xf borderId="21" fillId="0" fontId="11" numFmtId="0" xfId="0" applyAlignment="1" applyBorder="1" applyFont="1">
      <alignment horizontal="center" readingOrder="0" shrinkToFit="0" vertical="center" wrapText="0"/>
    </xf>
    <xf borderId="21" fillId="0" fontId="8" numFmtId="0" xfId="0" applyAlignment="1" applyBorder="1" applyFont="1">
      <alignment horizontal="center" readingOrder="0" shrinkToFit="0" vertical="center" wrapText="0"/>
    </xf>
    <xf borderId="30" fillId="0" fontId="11" numFmtId="0" xfId="0" applyAlignment="1" applyBorder="1" applyFont="1">
      <alignment horizontal="center" readingOrder="0" shrinkToFit="0" vertical="center" wrapText="0"/>
    </xf>
    <xf borderId="31" fillId="0" fontId="6" numFmtId="0" xfId="0" applyAlignment="1" applyBorder="1" applyFont="1">
      <alignment horizontal="center" readingOrder="0" vertical="center"/>
    </xf>
    <xf borderId="30" fillId="0" fontId="5" numFmtId="0" xfId="0" applyAlignment="1" applyBorder="1" applyFont="1">
      <alignment horizontal="center" readingOrder="0" vertical="center"/>
    </xf>
    <xf borderId="31" fillId="0" fontId="5" numFmtId="0" xfId="0" applyAlignment="1" applyBorder="1" applyFont="1">
      <alignment horizontal="center" readingOrder="0" vertical="center"/>
    </xf>
    <xf borderId="32" fillId="0" fontId="5" numFmtId="0" xfId="0" applyAlignment="1" applyBorder="1" applyFont="1">
      <alignment horizontal="center" readingOrder="0" vertical="center"/>
    </xf>
    <xf borderId="33" fillId="0" fontId="5" numFmtId="0" xfId="0" applyAlignment="1" applyBorder="1" applyFont="1">
      <alignment horizontal="center" readingOrder="0" vertical="center"/>
    </xf>
    <xf borderId="33" fillId="0" fontId="10" numFmtId="0" xfId="0" applyAlignment="1" applyBorder="1" applyFont="1">
      <alignment horizontal="center" vertical="center"/>
    </xf>
    <xf borderId="25" fillId="7" fontId="11" numFmtId="0" xfId="0" applyAlignment="1" applyBorder="1" applyFont="1">
      <alignment horizontal="center" readingOrder="0" shrinkToFit="0" vertical="center" wrapText="0"/>
    </xf>
    <xf borderId="34" fillId="0" fontId="5" numFmtId="0" xfId="0" applyAlignment="1" applyBorder="1" applyFont="1">
      <alignment horizontal="center" readingOrder="0" vertical="center"/>
    </xf>
    <xf borderId="35" fillId="0" fontId="5" numFmtId="0" xfId="0" applyAlignment="1" applyBorder="1" applyFont="1">
      <alignment horizontal="center" readingOrder="0" vertical="center"/>
    </xf>
    <xf borderId="36" fillId="0" fontId="5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2">
    <dxf>
      <font>
        <b/>
        <color theme="0"/>
      </font>
      <fill>
        <patternFill patternType="solid">
          <fgColor rgb="FF003278"/>
          <bgColor rgb="FF003278"/>
        </patternFill>
      </fill>
      <border/>
    </dxf>
    <dxf>
      <font>
        <b/>
        <color theme="0"/>
      </font>
      <fill>
        <patternFill patternType="solid">
          <fgColor rgb="FFC0111F"/>
          <bgColor rgb="FFC0111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18.0"/>
    <col customWidth="1" min="2" max="2" width="7.75"/>
    <col customWidth="1" min="3" max="3" width="6.13"/>
    <col customWidth="1" min="4" max="4" width="5.88"/>
    <col customWidth="1" min="5" max="5" width="7.25"/>
    <col customWidth="1" min="6" max="6" width="10.25"/>
    <col customWidth="1" min="7" max="7" width="10.0"/>
    <col customWidth="1" min="8" max="8" width="9.38"/>
    <col customWidth="1" min="9" max="9" width="5.88"/>
    <col customWidth="1" min="10" max="10" width="10.0"/>
    <col customWidth="1" min="11" max="11" width="9.38"/>
    <col customWidth="1" min="12" max="13" width="6.25"/>
    <col customWidth="1" min="14" max="14" width="10.25"/>
    <col customWidth="1" min="15" max="15" width="9.13"/>
    <col customWidth="1" min="16" max="16" width="9.5"/>
    <col customWidth="1" min="17" max="17" width="7.5"/>
    <col customWidth="1" min="18" max="18" width="9.5"/>
    <col customWidth="1" min="19" max="19" width="5.88"/>
    <col customWidth="1" min="20" max="20" width="5.38"/>
    <col customWidth="1" min="21" max="21" width="6.88"/>
  </cols>
  <sheetData>
    <row r="1">
      <c r="A1" s="2" t="s">
        <v>0</v>
      </c>
      <c r="B1" s="3"/>
      <c r="C1" s="5" t="s">
        <v>2</v>
      </c>
      <c r="D1" s="6"/>
      <c r="E1" s="6"/>
      <c r="F1" s="6"/>
      <c r="G1" s="6"/>
      <c r="H1" s="6"/>
      <c r="I1" s="6"/>
      <c r="J1" s="6"/>
      <c r="K1" s="3"/>
      <c r="L1" s="9" t="s">
        <v>3</v>
      </c>
      <c r="M1" s="11"/>
      <c r="N1" s="11"/>
      <c r="O1" s="11"/>
      <c r="P1" s="13"/>
      <c r="Q1" s="5" t="s">
        <v>5</v>
      </c>
      <c r="R1" s="6"/>
      <c r="S1" s="6"/>
      <c r="T1" s="3"/>
      <c r="U1" s="14"/>
      <c r="V1" s="16"/>
      <c r="W1" s="16"/>
      <c r="X1" s="16"/>
      <c r="Y1" s="16"/>
      <c r="Z1" s="16"/>
      <c r="AA1" s="16"/>
      <c r="AB1" s="16"/>
      <c r="AC1" s="16"/>
      <c r="AD1" s="16"/>
    </row>
    <row r="2">
      <c r="A2" s="21" t="s">
        <v>6</v>
      </c>
      <c r="B2" s="23"/>
      <c r="C2" s="8" t="s">
        <v>1</v>
      </c>
      <c r="D2" s="10"/>
      <c r="E2" s="10"/>
      <c r="F2" s="10"/>
      <c r="G2" s="10"/>
      <c r="H2" s="10"/>
      <c r="I2" s="12"/>
      <c r="J2" s="8" t="s">
        <v>4</v>
      </c>
      <c r="K2" s="12"/>
      <c r="L2" s="8" t="s">
        <v>1</v>
      </c>
      <c r="M2" s="10"/>
      <c r="N2" s="10"/>
      <c r="O2" s="35"/>
      <c r="P2" s="37" t="s">
        <v>4</v>
      </c>
      <c r="Q2" s="39"/>
      <c r="R2" s="40"/>
      <c r="S2" s="40"/>
      <c r="T2" s="41"/>
      <c r="U2" s="14"/>
      <c r="V2" s="16"/>
      <c r="W2" s="16"/>
      <c r="X2" s="16"/>
      <c r="Y2" s="16"/>
      <c r="Z2" s="16"/>
      <c r="AA2" s="16"/>
      <c r="AB2" s="16"/>
      <c r="AC2" s="16"/>
      <c r="AD2" s="16"/>
    </row>
    <row r="3">
      <c r="A3" s="46" t="s">
        <v>27</v>
      </c>
      <c r="B3" s="23"/>
      <c r="C3" s="49">
        <v>75.0</v>
      </c>
      <c r="D3" s="51">
        <v>-30.0</v>
      </c>
      <c r="E3" s="28">
        <v>60.0</v>
      </c>
      <c r="F3" s="28">
        <v>45.0</v>
      </c>
      <c r="G3" s="28">
        <v>15.0</v>
      </c>
      <c r="H3" s="51">
        <v>-15.0</v>
      </c>
      <c r="I3" s="52">
        <v>30.0</v>
      </c>
      <c r="J3" s="49">
        <v>180.0</v>
      </c>
      <c r="K3" s="52">
        <v>180.0</v>
      </c>
      <c r="L3" s="53">
        <v>-15.0</v>
      </c>
      <c r="M3" s="28">
        <v>15.0</v>
      </c>
      <c r="N3" s="28">
        <v>30.0</v>
      </c>
      <c r="O3" s="54">
        <v>-15.0</v>
      </c>
      <c r="P3" s="28">
        <v>180.0</v>
      </c>
      <c r="Q3" s="49">
        <v>30.0</v>
      </c>
      <c r="R3" s="55">
        <v>30.0</v>
      </c>
      <c r="S3" s="28">
        <v>30.0</v>
      </c>
      <c r="T3" s="52">
        <v>30.0</v>
      </c>
      <c r="U3" s="14"/>
      <c r="V3" s="16"/>
      <c r="W3" s="16"/>
      <c r="X3" s="16"/>
      <c r="Y3" s="16"/>
      <c r="Z3" s="16"/>
      <c r="AA3" s="16"/>
      <c r="AB3" s="16"/>
      <c r="AC3" s="16"/>
      <c r="AD3" s="16"/>
    </row>
    <row r="4">
      <c r="A4" s="57" t="s">
        <v>30</v>
      </c>
      <c r="B4" s="58" t="s">
        <v>8</v>
      </c>
      <c r="C4" s="59" t="s">
        <v>10</v>
      </c>
      <c r="D4" s="57" t="s">
        <v>9</v>
      </c>
      <c r="E4" s="60" t="s">
        <v>31</v>
      </c>
      <c r="F4" s="61" t="s">
        <v>32</v>
      </c>
      <c r="G4" s="61" t="s">
        <v>33</v>
      </c>
      <c r="H4" s="61" t="s">
        <v>35</v>
      </c>
      <c r="I4" s="63" t="s">
        <v>36</v>
      </c>
      <c r="J4" s="59" t="s">
        <v>37</v>
      </c>
      <c r="K4" s="63" t="s">
        <v>38</v>
      </c>
      <c r="L4" s="59" t="s">
        <v>14</v>
      </c>
      <c r="M4" s="57" t="s">
        <v>39</v>
      </c>
      <c r="N4" s="61" t="s">
        <v>15</v>
      </c>
      <c r="O4" s="61" t="s">
        <v>16</v>
      </c>
      <c r="P4" s="64" t="s">
        <v>40</v>
      </c>
      <c r="Q4" s="59" t="s">
        <v>41</v>
      </c>
      <c r="R4" s="61" t="s">
        <v>42</v>
      </c>
      <c r="S4" s="65" t="s">
        <v>22</v>
      </c>
      <c r="T4" s="63" t="s">
        <v>23</v>
      </c>
      <c r="U4" s="66" t="s">
        <v>24</v>
      </c>
      <c r="V4" s="16"/>
      <c r="W4" s="16"/>
      <c r="X4" s="16"/>
      <c r="Y4" s="16"/>
      <c r="Z4" s="16"/>
      <c r="AA4" s="16"/>
      <c r="AB4" s="16"/>
      <c r="AC4" s="16"/>
      <c r="AD4" s="16"/>
    </row>
    <row r="5">
      <c r="A5" s="67" t="s">
        <v>43</v>
      </c>
      <c r="B5" s="68" t="s">
        <v>26</v>
      </c>
      <c r="C5" s="69">
        <v>32.0</v>
      </c>
      <c r="D5" s="71">
        <v>40.0</v>
      </c>
      <c r="E5" s="71">
        <v>14.0</v>
      </c>
      <c r="F5" s="71">
        <v>8.0</v>
      </c>
      <c r="G5" s="71">
        <v>10.0</v>
      </c>
      <c r="H5" s="71">
        <v>0.0</v>
      </c>
      <c r="I5" s="72">
        <v>42.0</v>
      </c>
      <c r="J5" s="69">
        <v>2.0</v>
      </c>
      <c r="K5" s="72">
        <v>1.0</v>
      </c>
      <c r="L5" s="69">
        <v>17.0</v>
      </c>
      <c r="M5" s="71">
        <v>10.0</v>
      </c>
      <c r="N5" s="71">
        <v>4.0</v>
      </c>
      <c r="O5" s="71">
        <v>2.0</v>
      </c>
      <c r="P5" s="47">
        <v>0.0</v>
      </c>
      <c r="Q5" s="69">
        <v>18.0</v>
      </c>
      <c r="R5" s="71">
        <v>8.0</v>
      </c>
      <c r="S5" s="74">
        <v>8.0</v>
      </c>
      <c r="T5" s="72">
        <v>23.0</v>
      </c>
      <c r="U5" s="75">
        <f t="shared" ref="U5:U38" si="1">(C$3*C5)+(D$3*D5)+(E$3*E5)+(F$3*F5)+(G$3*G5)+(H$3*H5)+(I$3*I5)+(J$3*J5)+(K$3*K5)+(L$3*L5)+(M$3*M5)+(N$3*N5)+(O$3*O5)+(P$3*P5)+(Q$3*Q5)+(R$3*R5)+(S$3*S5)+(T$3*T5)</f>
        <v>6045</v>
      </c>
      <c r="V5" s="16"/>
      <c r="W5" s="16"/>
      <c r="X5" s="16"/>
      <c r="Y5" s="16"/>
      <c r="Z5" s="16"/>
      <c r="AA5" s="16"/>
      <c r="AB5" s="16"/>
      <c r="AC5" s="16"/>
      <c r="AD5" s="16"/>
    </row>
    <row r="6">
      <c r="A6" s="67" t="s">
        <v>47</v>
      </c>
      <c r="B6" s="68" t="s">
        <v>26</v>
      </c>
      <c r="C6" s="69">
        <v>36.0</v>
      </c>
      <c r="D6" s="71">
        <v>29.0</v>
      </c>
      <c r="E6" s="71">
        <v>15.0</v>
      </c>
      <c r="F6" s="71">
        <v>10.0</v>
      </c>
      <c r="G6" s="71">
        <v>6.0</v>
      </c>
      <c r="H6" s="71">
        <v>0.0</v>
      </c>
      <c r="I6" s="72">
        <v>3.0</v>
      </c>
      <c r="J6" s="69">
        <v>1.0</v>
      </c>
      <c r="K6" s="72">
        <v>0.0</v>
      </c>
      <c r="L6" s="69">
        <v>5.0</v>
      </c>
      <c r="M6" s="71">
        <v>15.0</v>
      </c>
      <c r="N6" s="71">
        <v>3.0</v>
      </c>
      <c r="O6" s="71">
        <v>0.0</v>
      </c>
      <c r="P6" s="47">
        <v>0.0</v>
      </c>
      <c r="Q6" s="69">
        <v>19.0</v>
      </c>
      <c r="R6" s="71">
        <v>9.0</v>
      </c>
      <c r="S6" s="74">
        <v>10.0</v>
      </c>
      <c r="T6" s="72">
        <v>23.0</v>
      </c>
      <c r="U6" s="75">
        <f t="shared" si="1"/>
        <v>5610</v>
      </c>
      <c r="V6" s="16"/>
      <c r="W6" s="16"/>
      <c r="X6" s="16"/>
      <c r="Y6" s="16"/>
      <c r="Z6" s="16"/>
      <c r="AA6" s="16"/>
      <c r="AB6" s="16"/>
      <c r="AC6" s="16"/>
      <c r="AD6" s="16"/>
    </row>
    <row r="7">
      <c r="A7" s="76" t="s">
        <v>50</v>
      </c>
      <c r="B7" s="68" t="s">
        <v>26</v>
      </c>
      <c r="C7" s="69">
        <v>39.0</v>
      </c>
      <c r="D7" s="71">
        <v>22.0</v>
      </c>
      <c r="E7" s="71">
        <v>3.0</v>
      </c>
      <c r="F7" s="71">
        <v>2.0</v>
      </c>
      <c r="G7" s="71">
        <v>4.0</v>
      </c>
      <c r="H7" s="71">
        <v>0.0</v>
      </c>
      <c r="I7" s="72">
        <v>9.0</v>
      </c>
      <c r="J7" s="69">
        <v>3.0</v>
      </c>
      <c r="K7" s="72">
        <v>0.0</v>
      </c>
      <c r="L7" s="69">
        <v>2.0</v>
      </c>
      <c r="M7" s="71">
        <v>4.0</v>
      </c>
      <c r="N7" s="71">
        <v>2.0</v>
      </c>
      <c r="O7" s="71">
        <v>2.0</v>
      </c>
      <c r="P7" s="47">
        <v>0.0</v>
      </c>
      <c r="Q7" s="69">
        <v>13.0</v>
      </c>
      <c r="R7" s="71">
        <v>9.0</v>
      </c>
      <c r="S7" s="74">
        <v>8.0</v>
      </c>
      <c r="T7" s="72">
        <v>24.0</v>
      </c>
      <c r="U7" s="75">
        <f t="shared" si="1"/>
        <v>5085</v>
      </c>
      <c r="V7" s="16"/>
      <c r="W7" s="16"/>
      <c r="X7" s="16"/>
      <c r="Y7" s="16"/>
      <c r="Z7" s="16"/>
      <c r="AA7" s="16"/>
      <c r="AB7" s="16"/>
      <c r="AC7" s="16"/>
      <c r="AD7" s="16"/>
    </row>
    <row r="8">
      <c r="A8" s="67" t="s">
        <v>52</v>
      </c>
      <c r="B8" s="68" t="s">
        <v>26</v>
      </c>
      <c r="C8" s="77">
        <v>24.0</v>
      </c>
      <c r="D8" s="78">
        <v>42.0</v>
      </c>
      <c r="E8" s="78">
        <v>15.0</v>
      </c>
      <c r="F8" s="78">
        <v>16.0</v>
      </c>
      <c r="G8" s="78">
        <v>3.0</v>
      </c>
      <c r="H8" s="78">
        <v>0.0</v>
      </c>
      <c r="I8" s="79">
        <v>10.0</v>
      </c>
      <c r="J8" s="69">
        <v>0.0</v>
      </c>
      <c r="K8" s="72">
        <v>3.0</v>
      </c>
      <c r="L8" s="69">
        <v>0.0</v>
      </c>
      <c r="M8" s="71">
        <v>0.0</v>
      </c>
      <c r="N8" s="71">
        <v>1.0</v>
      </c>
      <c r="O8" s="71">
        <v>3.0</v>
      </c>
      <c r="P8" s="47">
        <v>0.0</v>
      </c>
      <c r="Q8" s="69">
        <v>20.0</v>
      </c>
      <c r="R8" s="71">
        <v>10.0</v>
      </c>
      <c r="S8" s="74">
        <v>11.0</v>
      </c>
      <c r="T8" s="72">
        <v>24.0</v>
      </c>
      <c r="U8" s="75">
        <f t="shared" si="1"/>
        <v>4980</v>
      </c>
      <c r="V8" s="16"/>
      <c r="W8" s="16"/>
      <c r="X8" s="16"/>
      <c r="Y8" s="16"/>
      <c r="Z8" s="16"/>
      <c r="AA8" s="16"/>
      <c r="AB8" s="16"/>
      <c r="AC8" s="16"/>
      <c r="AD8" s="16"/>
    </row>
    <row r="9">
      <c r="A9" s="81" t="s">
        <v>55</v>
      </c>
      <c r="B9" s="68" t="s">
        <v>29</v>
      </c>
      <c r="C9" s="69">
        <v>37.0</v>
      </c>
      <c r="D9" s="71">
        <v>39.0</v>
      </c>
      <c r="E9" s="71">
        <v>8.0</v>
      </c>
      <c r="F9" s="71">
        <v>1.0</v>
      </c>
      <c r="G9" s="71">
        <v>6.0</v>
      </c>
      <c r="H9" s="71">
        <v>0.0</v>
      </c>
      <c r="I9" s="72">
        <v>12.0</v>
      </c>
      <c r="J9" s="69">
        <v>2.0</v>
      </c>
      <c r="K9" s="72">
        <v>0.0</v>
      </c>
      <c r="L9" s="69">
        <v>1.0</v>
      </c>
      <c r="M9" s="71">
        <v>1.0</v>
      </c>
      <c r="N9" s="71">
        <v>1.0</v>
      </c>
      <c r="O9" s="71">
        <v>0.0</v>
      </c>
      <c r="P9" s="47">
        <v>0.0</v>
      </c>
      <c r="Q9" s="69">
        <v>12.0</v>
      </c>
      <c r="R9" s="71">
        <v>10.0</v>
      </c>
      <c r="S9" s="74">
        <v>10.0</v>
      </c>
      <c r="T9" s="72">
        <v>27.0</v>
      </c>
      <c r="U9" s="75">
        <f t="shared" si="1"/>
        <v>4740</v>
      </c>
      <c r="V9" s="16"/>
      <c r="W9" s="16"/>
      <c r="X9" s="16"/>
      <c r="Y9" s="16"/>
      <c r="Z9" s="16"/>
      <c r="AA9" s="16"/>
      <c r="AB9" s="16"/>
      <c r="AC9" s="16"/>
      <c r="AD9" s="16"/>
    </row>
    <row r="10">
      <c r="A10" s="81" t="s">
        <v>57</v>
      </c>
      <c r="B10" s="68" t="s">
        <v>29</v>
      </c>
      <c r="C10" s="69">
        <v>39.0</v>
      </c>
      <c r="D10" s="71">
        <v>45.0</v>
      </c>
      <c r="E10" s="71">
        <v>4.0</v>
      </c>
      <c r="F10" s="71">
        <v>9.0</v>
      </c>
      <c r="G10" s="71">
        <v>2.0</v>
      </c>
      <c r="H10" s="71">
        <v>0.0</v>
      </c>
      <c r="I10" s="72">
        <v>1.0</v>
      </c>
      <c r="J10" s="69">
        <v>1.0</v>
      </c>
      <c r="K10" s="72">
        <v>0.0</v>
      </c>
      <c r="L10" s="69">
        <v>8.0</v>
      </c>
      <c r="M10" s="71">
        <v>19.0</v>
      </c>
      <c r="N10" s="71">
        <v>0.0</v>
      </c>
      <c r="O10" s="71">
        <v>3.0</v>
      </c>
      <c r="P10" s="47">
        <v>0.0</v>
      </c>
      <c r="Q10" s="69">
        <v>11.0</v>
      </c>
      <c r="R10" s="71">
        <v>10.0</v>
      </c>
      <c r="S10" s="74">
        <v>9.0</v>
      </c>
      <c r="T10" s="72">
        <v>27.0</v>
      </c>
      <c r="U10" s="75">
        <f t="shared" si="1"/>
        <v>4290</v>
      </c>
      <c r="V10" s="16"/>
      <c r="W10" s="16"/>
      <c r="X10" s="16"/>
      <c r="Y10" s="16"/>
      <c r="Z10" s="16"/>
      <c r="AA10" s="16"/>
      <c r="AB10" s="16"/>
      <c r="AC10" s="16"/>
      <c r="AD10" s="16"/>
    </row>
    <row r="11">
      <c r="A11" s="67" t="s">
        <v>59</v>
      </c>
      <c r="B11" s="68" t="s">
        <v>26</v>
      </c>
      <c r="C11" s="69">
        <v>24.0</v>
      </c>
      <c r="D11" s="71">
        <v>25.0</v>
      </c>
      <c r="E11" s="71">
        <v>9.0</v>
      </c>
      <c r="F11" s="71">
        <v>15.0</v>
      </c>
      <c r="G11" s="71">
        <v>8.0</v>
      </c>
      <c r="H11" s="71">
        <v>0.0</v>
      </c>
      <c r="I11" s="72">
        <v>1.0</v>
      </c>
      <c r="J11" s="69">
        <v>0.0</v>
      </c>
      <c r="K11" s="72">
        <v>0.0</v>
      </c>
      <c r="L11" s="69">
        <v>7.0</v>
      </c>
      <c r="M11" s="71">
        <v>3.0</v>
      </c>
      <c r="N11" s="71">
        <v>1.0</v>
      </c>
      <c r="O11" s="71">
        <v>0.0</v>
      </c>
      <c r="P11" s="47">
        <v>0.0</v>
      </c>
      <c r="Q11" s="69">
        <v>18.0</v>
      </c>
      <c r="R11" s="71">
        <v>7.0</v>
      </c>
      <c r="S11" s="74">
        <v>9.0</v>
      </c>
      <c r="T11" s="72">
        <v>24.0</v>
      </c>
      <c r="U11" s="75">
        <f t="shared" si="1"/>
        <v>4125</v>
      </c>
      <c r="V11" s="16"/>
      <c r="W11" s="16"/>
      <c r="X11" s="16"/>
      <c r="Y11" s="16"/>
      <c r="Z11" s="16"/>
      <c r="AA11" s="16"/>
      <c r="AB11" s="16"/>
      <c r="AC11" s="16"/>
      <c r="AD11" s="16"/>
    </row>
    <row r="12">
      <c r="A12" s="76" t="s">
        <v>61</v>
      </c>
      <c r="B12" s="83" t="s">
        <v>29</v>
      </c>
      <c r="C12" s="69">
        <v>28.0</v>
      </c>
      <c r="D12" s="71">
        <v>51.0</v>
      </c>
      <c r="E12" s="71">
        <v>8.0</v>
      </c>
      <c r="F12" s="71">
        <v>5.0</v>
      </c>
      <c r="G12" s="71">
        <v>3.0</v>
      </c>
      <c r="H12" s="71">
        <v>0.0</v>
      </c>
      <c r="I12" s="72">
        <v>8.0</v>
      </c>
      <c r="J12" s="69">
        <v>0.0</v>
      </c>
      <c r="K12" s="72">
        <v>1.0</v>
      </c>
      <c r="L12" s="69">
        <v>1.0</v>
      </c>
      <c r="M12" s="71">
        <v>2.0</v>
      </c>
      <c r="N12" s="71">
        <v>1.0</v>
      </c>
      <c r="O12" s="71">
        <v>5.0</v>
      </c>
      <c r="P12" s="47">
        <v>0.0</v>
      </c>
      <c r="Q12" s="69">
        <v>18.0</v>
      </c>
      <c r="R12" s="71">
        <v>14.0</v>
      </c>
      <c r="S12" s="74">
        <v>9.0</v>
      </c>
      <c r="T12" s="72">
        <v>27.0</v>
      </c>
      <c r="U12" s="75">
        <f t="shared" si="1"/>
        <v>3750</v>
      </c>
      <c r="V12" s="16"/>
      <c r="W12" s="16"/>
      <c r="X12" s="16"/>
      <c r="Y12" s="16"/>
      <c r="Z12" s="16"/>
      <c r="AA12" s="16"/>
      <c r="AB12" s="16"/>
      <c r="AC12" s="16"/>
      <c r="AD12" s="16"/>
    </row>
    <row r="13">
      <c r="A13" s="81" t="s">
        <v>63</v>
      </c>
      <c r="B13" s="68" t="s">
        <v>29</v>
      </c>
      <c r="C13" s="69">
        <v>22.0</v>
      </c>
      <c r="D13" s="71">
        <v>9.0</v>
      </c>
      <c r="E13" s="71">
        <v>7.0</v>
      </c>
      <c r="F13" s="71">
        <v>3.0</v>
      </c>
      <c r="G13" s="71">
        <v>4.0</v>
      </c>
      <c r="H13" s="71">
        <v>0.0</v>
      </c>
      <c r="I13" s="72">
        <v>2.0</v>
      </c>
      <c r="J13" s="69">
        <v>0.0</v>
      </c>
      <c r="K13" s="72">
        <v>2.0</v>
      </c>
      <c r="L13" s="69">
        <v>3.0</v>
      </c>
      <c r="M13" s="71">
        <v>0.0</v>
      </c>
      <c r="N13" s="71">
        <v>0.0</v>
      </c>
      <c r="O13" s="71">
        <v>0.0</v>
      </c>
      <c r="P13" s="47">
        <v>0.0</v>
      </c>
      <c r="Q13" s="69">
        <v>6.0</v>
      </c>
      <c r="R13" s="71">
        <v>6.0</v>
      </c>
      <c r="S13" s="74">
        <v>4.0</v>
      </c>
      <c r="T13" s="72">
        <v>27.0</v>
      </c>
      <c r="U13" s="75">
        <f t="shared" si="1"/>
        <v>3660</v>
      </c>
      <c r="V13" s="16"/>
      <c r="W13" s="16"/>
      <c r="X13" s="16"/>
      <c r="Y13" s="16"/>
      <c r="Z13" s="16"/>
      <c r="AA13" s="16"/>
      <c r="AB13" s="16"/>
      <c r="AC13" s="16"/>
      <c r="AD13" s="16"/>
    </row>
    <row r="14">
      <c r="A14" s="84" t="s">
        <v>66</v>
      </c>
      <c r="B14" s="68" t="s">
        <v>29</v>
      </c>
      <c r="C14" s="69">
        <v>18.0</v>
      </c>
      <c r="D14" s="71">
        <v>13.0</v>
      </c>
      <c r="E14" s="71">
        <v>13.0</v>
      </c>
      <c r="F14" s="71">
        <v>0.0</v>
      </c>
      <c r="G14" s="71">
        <v>5.0</v>
      </c>
      <c r="H14" s="71">
        <v>0.0</v>
      </c>
      <c r="I14" s="72">
        <v>4.0</v>
      </c>
      <c r="J14" s="69">
        <v>0.0</v>
      </c>
      <c r="K14" s="72">
        <v>0.0</v>
      </c>
      <c r="L14" s="69">
        <v>6.0</v>
      </c>
      <c r="M14" s="71">
        <v>0.0</v>
      </c>
      <c r="N14" s="71">
        <v>1.0</v>
      </c>
      <c r="O14" s="71">
        <v>0.0</v>
      </c>
      <c r="P14" s="47">
        <v>1.0</v>
      </c>
      <c r="Q14" s="69">
        <v>11.0</v>
      </c>
      <c r="R14" s="71">
        <v>8.0</v>
      </c>
      <c r="S14" s="74">
        <v>7.0</v>
      </c>
      <c r="T14" s="72">
        <v>27.0</v>
      </c>
      <c r="U14" s="75">
        <f t="shared" si="1"/>
        <v>3645</v>
      </c>
      <c r="V14" s="16"/>
      <c r="W14" s="16"/>
      <c r="X14" s="16"/>
      <c r="Y14" s="16"/>
      <c r="Z14" s="16"/>
      <c r="AA14" s="16"/>
      <c r="AB14" s="16"/>
      <c r="AC14" s="16"/>
      <c r="AD14" s="16"/>
    </row>
    <row r="15">
      <c r="A15" s="81" t="s">
        <v>69</v>
      </c>
      <c r="B15" s="68" t="s">
        <v>29</v>
      </c>
      <c r="C15" s="69">
        <v>19.0</v>
      </c>
      <c r="D15" s="71">
        <v>18.0</v>
      </c>
      <c r="E15" s="71">
        <v>10.0</v>
      </c>
      <c r="F15" s="71">
        <v>1.0</v>
      </c>
      <c r="G15" s="71">
        <v>6.0</v>
      </c>
      <c r="H15" s="71">
        <v>0.0</v>
      </c>
      <c r="I15" s="72">
        <v>4.0</v>
      </c>
      <c r="J15" s="69">
        <v>0.0</v>
      </c>
      <c r="K15" s="72">
        <v>0.0</v>
      </c>
      <c r="L15" s="69">
        <v>16.0</v>
      </c>
      <c r="M15" s="71">
        <v>11.0</v>
      </c>
      <c r="N15" s="71">
        <v>2.0</v>
      </c>
      <c r="O15" s="71">
        <v>2.0</v>
      </c>
      <c r="P15" s="47">
        <v>0.0</v>
      </c>
      <c r="Q15" s="69">
        <v>13.0</v>
      </c>
      <c r="R15" s="71">
        <v>10.0</v>
      </c>
      <c r="S15" s="74">
        <v>6.0</v>
      </c>
      <c r="T15" s="72">
        <v>27.0</v>
      </c>
      <c r="U15" s="75">
        <f t="shared" si="1"/>
        <v>3375</v>
      </c>
      <c r="V15" s="16"/>
      <c r="W15" s="16"/>
      <c r="X15" s="16"/>
      <c r="Y15" s="16"/>
      <c r="Z15" s="16"/>
      <c r="AA15" s="16"/>
      <c r="AB15" s="16"/>
      <c r="AC15" s="16"/>
      <c r="AD15" s="16"/>
    </row>
    <row r="16">
      <c r="A16" s="81" t="s">
        <v>72</v>
      </c>
      <c r="B16" s="68" t="s">
        <v>29</v>
      </c>
      <c r="C16" s="69">
        <v>12.0</v>
      </c>
      <c r="D16" s="71">
        <v>4.0</v>
      </c>
      <c r="E16" s="71">
        <v>8.0</v>
      </c>
      <c r="F16" s="71">
        <v>1.0</v>
      </c>
      <c r="G16" s="71">
        <v>7.0</v>
      </c>
      <c r="H16" s="71">
        <v>0.0</v>
      </c>
      <c r="I16" s="72">
        <v>1.0</v>
      </c>
      <c r="J16" s="69">
        <v>0.0</v>
      </c>
      <c r="K16" s="72">
        <v>0.0</v>
      </c>
      <c r="L16" s="69">
        <v>3.0</v>
      </c>
      <c r="M16" s="71">
        <v>6.0</v>
      </c>
      <c r="N16" s="71">
        <v>0.0</v>
      </c>
      <c r="O16" s="71">
        <v>0.0</v>
      </c>
      <c r="P16" s="47">
        <v>3.0</v>
      </c>
      <c r="Q16" s="69">
        <v>6.0</v>
      </c>
      <c r="R16" s="71">
        <v>4.0</v>
      </c>
      <c r="S16" s="74">
        <v>4.0</v>
      </c>
      <c r="T16" s="72">
        <v>27.0</v>
      </c>
      <c r="U16" s="75">
        <f t="shared" si="1"/>
        <v>3255</v>
      </c>
      <c r="V16" s="16"/>
      <c r="W16" s="16"/>
      <c r="X16" s="16"/>
      <c r="Y16" s="16"/>
      <c r="Z16" s="16"/>
      <c r="AA16" s="16"/>
      <c r="AB16" s="16"/>
      <c r="AC16" s="16"/>
      <c r="AD16" s="16"/>
    </row>
    <row r="17">
      <c r="A17" s="81" t="s">
        <v>74</v>
      </c>
      <c r="B17" s="83" t="s">
        <v>26</v>
      </c>
      <c r="C17" s="69">
        <v>28.0</v>
      </c>
      <c r="D17" s="71">
        <v>38.0</v>
      </c>
      <c r="E17" s="71">
        <v>4.0</v>
      </c>
      <c r="F17" s="71">
        <v>1.0</v>
      </c>
      <c r="G17" s="71">
        <v>4.0</v>
      </c>
      <c r="H17" s="71">
        <v>0.0</v>
      </c>
      <c r="I17" s="72">
        <v>11.0</v>
      </c>
      <c r="J17" s="69">
        <v>0.0</v>
      </c>
      <c r="K17" s="72">
        <v>0.0</v>
      </c>
      <c r="L17" s="69">
        <v>3.0</v>
      </c>
      <c r="M17" s="71">
        <v>5.0</v>
      </c>
      <c r="N17" s="71">
        <v>2.0</v>
      </c>
      <c r="O17" s="71">
        <v>2.0</v>
      </c>
      <c r="P17" s="47">
        <v>0.0</v>
      </c>
      <c r="Q17" s="69">
        <v>8.0</v>
      </c>
      <c r="R17" s="71">
        <v>10.0</v>
      </c>
      <c r="S17" s="74">
        <v>9.0</v>
      </c>
      <c r="T17" s="72">
        <v>24.0</v>
      </c>
      <c r="U17" s="75">
        <f t="shared" si="1"/>
        <v>3225</v>
      </c>
      <c r="V17" s="16"/>
      <c r="W17" s="16"/>
      <c r="X17" s="16"/>
      <c r="Y17" s="16"/>
      <c r="Z17" s="16"/>
      <c r="AA17" s="16"/>
      <c r="AB17" s="16"/>
      <c r="AC17" s="16"/>
      <c r="AD17" s="16"/>
    </row>
    <row r="18">
      <c r="A18" s="84" t="s">
        <v>76</v>
      </c>
      <c r="B18" s="68" t="s">
        <v>26</v>
      </c>
      <c r="C18" s="69">
        <v>16.0</v>
      </c>
      <c r="D18" s="71">
        <v>25.0</v>
      </c>
      <c r="E18" s="71">
        <v>11.0</v>
      </c>
      <c r="F18" s="71">
        <v>2.0</v>
      </c>
      <c r="G18" s="71">
        <v>5.0</v>
      </c>
      <c r="H18" s="71">
        <v>0.0</v>
      </c>
      <c r="I18" s="72">
        <v>0.0</v>
      </c>
      <c r="J18" s="69">
        <v>0.0</v>
      </c>
      <c r="K18" s="72">
        <v>0.0</v>
      </c>
      <c r="L18" s="69">
        <v>5.0</v>
      </c>
      <c r="M18" s="71">
        <v>1.0</v>
      </c>
      <c r="N18" s="71">
        <v>2.0</v>
      </c>
      <c r="O18" s="71">
        <v>1.0</v>
      </c>
      <c r="P18" s="47">
        <v>2.0</v>
      </c>
      <c r="Q18" s="69">
        <v>15.0</v>
      </c>
      <c r="R18" s="71">
        <v>7.0</v>
      </c>
      <c r="S18" s="74">
        <v>7.0</v>
      </c>
      <c r="T18" s="72">
        <v>24.0</v>
      </c>
      <c r="U18" s="75">
        <f t="shared" si="1"/>
        <v>3210</v>
      </c>
      <c r="V18" s="16"/>
      <c r="W18" s="16"/>
      <c r="X18" s="16"/>
      <c r="Y18" s="16"/>
      <c r="Z18" s="16"/>
      <c r="AA18" s="16"/>
      <c r="AB18" s="16"/>
      <c r="AC18" s="16"/>
      <c r="AD18" s="16"/>
    </row>
    <row r="19">
      <c r="A19" s="84" t="s">
        <v>78</v>
      </c>
      <c r="B19" s="68" t="s">
        <v>29</v>
      </c>
      <c r="C19" s="69">
        <v>19.0</v>
      </c>
      <c r="D19" s="71">
        <v>18.0</v>
      </c>
      <c r="E19" s="71">
        <v>6.0</v>
      </c>
      <c r="F19" s="71">
        <v>1.0</v>
      </c>
      <c r="G19" s="71">
        <v>3.0</v>
      </c>
      <c r="H19" s="71">
        <v>0.0</v>
      </c>
      <c r="I19" s="72">
        <v>6.0</v>
      </c>
      <c r="J19" s="69">
        <v>0.0</v>
      </c>
      <c r="K19" s="72">
        <v>0.0</v>
      </c>
      <c r="L19" s="69">
        <v>5.0</v>
      </c>
      <c r="M19" s="71">
        <v>8.0</v>
      </c>
      <c r="N19" s="71">
        <v>1.0</v>
      </c>
      <c r="O19" s="71">
        <v>2.0</v>
      </c>
      <c r="P19" s="47">
        <v>0.0</v>
      </c>
      <c r="Q19" s="69">
        <v>9.0</v>
      </c>
      <c r="R19" s="71">
        <v>5.0</v>
      </c>
      <c r="S19" s="74">
        <v>6.0</v>
      </c>
      <c r="T19" s="72">
        <v>27.0</v>
      </c>
      <c r="U19" s="75">
        <f t="shared" si="1"/>
        <v>2970</v>
      </c>
      <c r="V19" s="16"/>
      <c r="W19" s="16"/>
      <c r="X19" s="16"/>
      <c r="Y19" s="16"/>
      <c r="Z19" s="16"/>
      <c r="AA19" s="16"/>
      <c r="AB19" s="16"/>
      <c r="AC19" s="16"/>
      <c r="AD19" s="16"/>
    </row>
    <row r="20">
      <c r="A20" s="81" t="s">
        <v>80</v>
      </c>
      <c r="B20" s="83" t="s">
        <v>26</v>
      </c>
      <c r="C20" s="69">
        <v>19.0</v>
      </c>
      <c r="D20" s="71">
        <v>28.0</v>
      </c>
      <c r="E20" s="71">
        <v>3.0</v>
      </c>
      <c r="F20" s="71">
        <v>1.0</v>
      </c>
      <c r="G20" s="71">
        <v>1.0</v>
      </c>
      <c r="H20" s="71">
        <v>1.0</v>
      </c>
      <c r="I20" s="72">
        <v>14.0</v>
      </c>
      <c r="J20" s="69">
        <v>0.0</v>
      </c>
      <c r="K20" s="72">
        <v>1.0</v>
      </c>
      <c r="L20" s="69">
        <v>5.0</v>
      </c>
      <c r="M20" s="71">
        <v>0.0</v>
      </c>
      <c r="N20" s="71">
        <v>3.0</v>
      </c>
      <c r="O20" s="71">
        <v>2.0</v>
      </c>
      <c r="P20" s="47">
        <v>0.0</v>
      </c>
      <c r="Q20" s="69">
        <v>9.0</v>
      </c>
      <c r="R20" s="71">
        <v>5.0</v>
      </c>
      <c r="S20" s="74">
        <v>11.0</v>
      </c>
      <c r="T20" s="72">
        <v>23.0</v>
      </c>
      <c r="U20" s="75">
        <f t="shared" si="1"/>
        <v>2835</v>
      </c>
      <c r="V20" s="16"/>
      <c r="W20" s="16"/>
      <c r="X20" s="16"/>
      <c r="Y20" s="16"/>
      <c r="Z20" s="16"/>
      <c r="AA20" s="16"/>
      <c r="AB20" s="16"/>
      <c r="AC20" s="16"/>
      <c r="AD20" s="16"/>
    </row>
    <row r="21">
      <c r="A21" s="67" t="s">
        <v>83</v>
      </c>
      <c r="B21" s="83" t="s">
        <v>29</v>
      </c>
      <c r="C21" s="69">
        <v>21.0</v>
      </c>
      <c r="D21" s="71">
        <v>32.0</v>
      </c>
      <c r="E21" s="71">
        <v>5.0</v>
      </c>
      <c r="F21" s="71">
        <v>0.0</v>
      </c>
      <c r="G21" s="71">
        <v>1.0</v>
      </c>
      <c r="H21" s="71">
        <v>0.0</v>
      </c>
      <c r="I21" s="72">
        <v>2.0</v>
      </c>
      <c r="J21" s="69">
        <v>0.0</v>
      </c>
      <c r="K21" s="72">
        <v>0.0</v>
      </c>
      <c r="L21" s="69">
        <v>4.0</v>
      </c>
      <c r="M21" s="71">
        <v>14.0</v>
      </c>
      <c r="N21" s="71">
        <v>1.0</v>
      </c>
      <c r="O21" s="71">
        <v>3.0</v>
      </c>
      <c r="P21" s="47">
        <v>0.0</v>
      </c>
      <c r="Q21" s="69">
        <v>12.0</v>
      </c>
      <c r="R21" s="71">
        <v>10.0</v>
      </c>
      <c r="S21" s="74">
        <v>5.0</v>
      </c>
      <c r="T21" s="72">
        <v>27.0</v>
      </c>
      <c r="U21" s="75">
        <f t="shared" si="1"/>
        <v>2745</v>
      </c>
      <c r="V21" s="16"/>
      <c r="W21" s="16"/>
      <c r="X21" s="16"/>
      <c r="Y21" s="16"/>
      <c r="Z21" s="16"/>
      <c r="AA21" s="16"/>
      <c r="AB21" s="16"/>
      <c r="AC21" s="16"/>
      <c r="AD21" s="16"/>
    </row>
    <row r="22">
      <c r="A22" s="76" t="s">
        <v>85</v>
      </c>
      <c r="B22" s="68" t="s">
        <v>26</v>
      </c>
      <c r="C22" s="69">
        <v>19.0</v>
      </c>
      <c r="D22" s="71">
        <v>9.0</v>
      </c>
      <c r="E22" s="71">
        <v>1.0</v>
      </c>
      <c r="F22" s="71">
        <v>1.0</v>
      </c>
      <c r="G22" s="71">
        <v>2.0</v>
      </c>
      <c r="H22" s="71">
        <v>0.0</v>
      </c>
      <c r="I22" s="72">
        <v>5.0</v>
      </c>
      <c r="J22" s="69">
        <v>0.0</v>
      </c>
      <c r="K22" s="72">
        <v>0.0</v>
      </c>
      <c r="L22" s="69">
        <v>0.0</v>
      </c>
      <c r="M22" s="71">
        <v>0.0</v>
      </c>
      <c r="N22" s="71">
        <v>0.0</v>
      </c>
      <c r="O22" s="71">
        <v>1.0</v>
      </c>
      <c r="P22" s="47">
        <v>0.0</v>
      </c>
      <c r="Q22" s="69">
        <v>7.0</v>
      </c>
      <c r="R22" s="71">
        <v>7.0</v>
      </c>
      <c r="S22" s="74">
        <v>5.0</v>
      </c>
      <c r="T22" s="72">
        <v>24.0</v>
      </c>
      <c r="U22" s="75">
        <f t="shared" si="1"/>
        <v>2715</v>
      </c>
      <c r="V22" s="16"/>
      <c r="W22" s="16"/>
      <c r="X22" s="16"/>
      <c r="Y22" s="16"/>
      <c r="Z22" s="16"/>
      <c r="AA22" s="16"/>
      <c r="AB22" s="16"/>
      <c r="AC22" s="16"/>
      <c r="AD22" s="16"/>
    </row>
    <row r="23">
      <c r="A23" s="67" t="s">
        <v>87</v>
      </c>
      <c r="B23" s="68" t="s">
        <v>26</v>
      </c>
      <c r="C23" s="69">
        <v>19.0</v>
      </c>
      <c r="D23" s="71">
        <v>28.0</v>
      </c>
      <c r="E23" s="71">
        <v>3.0</v>
      </c>
      <c r="F23" s="71">
        <v>0.0</v>
      </c>
      <c r="G23" s="71">
        <v>3.0</v>
      </c>
      <c r="H23" s="71">
        <v>0.0</v>
      </c>
      <c r="I23" s="72">
        <v>6.0</v>
      </c>
      <c r="J23" s="69">
        <v>0.0</v>
      </c>
      <c r="K23" s="72">
        <v>0.0</v>
      </c>
      <c r="L23" s="69">
        <v>6.0</v>
      </c>
      <c r="M23" s="71">
        <v>10.0</v>
      </c>
      <c r="N23" s="71">
        <v>3.0</v>
      </c>
      <c r="O23" s="71">
        <v>0.0</v>
      </c>
      <c r="P23" s="47">
        <v>0.0</v>
      </c>
      <c r="Q23" s="69">
        <v>13.0</v>
      </c>
      <c r="R23" s="71">
        <v>7.0</v>
      </c>
      <c r="S23" s="74">
        <v>6.0</v>
      </c>
      <c r="T23" s="72">
        <v>24.0</v>
      </c>
      <c r="U23" s="75">
        <f t="shared" si="1"/>
        <v>2640</v>
      </c>
      <c r="V23" s="16"/>
      <c r="W23" s="16"/>
      <c r="X23" s="16"/>
      <c r="Y23" s="16"/>
      <c r="Z23" s="16"/>
      <c r="AA23" s="16"/>
      <c r="AB23" s="16"/>
      <c r="AC23" s="16"/>
      <c r="AD23" s="16"/>
    </row>
    <row r="24">
      <c r="A24" s="76" t="s">
        <v>89</v>
      </c>
      <c r="B24" s="68" t="s">
        <v>26</v>
      </c>
      <c r="C24" s="69">
        <v>11.0</v>
      </c>
      <c r="D24" s="71">
        <v>8.0</v>
      </c>
      <c r="E24" s="71">
        <v>5.0</v>
      </c>
      <c r="F24" s="71">
        <v>7.0</v>
      </c>
      <c r="G24" s="71">
        <v>2.0</v>
      </c>
      <c r="H24" s="71">
        <v>0.0</v>
      </c>
      <c r="I24" s="72">
        <v>1.0</v>
      </c>
      <c r="J24" s="69">
        <v>0.0</v>
      </c>
      <c r="K24" s="72">
        <v>0.0</v>
      </c>
      <c r="L24" s="69">
        <v>1.0</v>
      </c>
      <c r="M24" s="71">
        <v>1.0</v>
      </c>
      <c r="N24" s="71">
        <v>2.0</v>
      </c>
      <c r="O24" s="71">
        <v>1.0</v>
      </c>
      <c r="P24" s="47">
        <v>1.0</v>
      </c>
      <c r="Q24" s="69">
        <v>9.0</v>
      </c>
      <c r="R24" s="71">
        <v>3.0</v>
      </c>
      <c r="S24" s="74">
        <v>2.0</v>
      </c>
      <c r="T24" s="72">
        <v>24.0</v>
      </c>
      <c r="U24" s="75">
        <f t="shared" si="1"/>
        <v>2625</v>
      </c>
      <c r="V24" s="16"/>
      <c r="W24" s="16"/>
      <c r="X24" s="16"/>
      <c r="Y24" s="16"/>
      <c r="Z24" s="16"/>
      <c r="AA24" s="16"/>
      <c r="AB24" s="16"/>
      <c r="AC24" s="16"/>
      <c r="AD24" s="16"/>
    </row>
    <row r="25">
      <c r="A25" s="84" t="s">
        <v>92</v>
      </c>
      <c r="B25" s="68" t="s">
        <v>29</v>
      </c>
      <c r="C25" s="69">
        <v>17.0</v>
      </c>
      <c r="D25" s="71">
        <v>14.0</v>
      </c>
      <c r="E25" s="71">
        <v>4.0</v>
      </c>
      <c r="F25" s="71">
        <v>4.0</v>
      </c>
      <c r="G25" s="71">
        <v>1.0</v>
      </c>
      <c r="H25" s="71">
        <v>0.0</v>
      </c>
      <c r="I25" s="72">
        <v>2.0</v>
      </c>
      <c r="J25" s="69">
        <v>0.0</v>
      </c>
      <c r="K25" s="72">
        <v>0.0</v>
      </c>
      <c r="L25" s="69">
        <v>3.0</v>
      </c>
      <c r="M25" s="71">
        <v>0.0</v>
      </c>
      <c r="N25" s="71">
        <v>0.0</v>
      </c>
      <c r="O25" s="71">
        <v>1.0</v>
      </c>
      <c r="P25" s="47">
        <v>0.0</v>
      </c>
      <c r="Q25" s="69">
        <v>9.0</v>
      </c>
      <c r="R25" s="71">
        <v>4.0</v>
      </c>
      <c r="S25" s="74">
        <v>4.0</v>
      </c>
      <c r="T25" s="72">
        <v>27.0</v>
      </c>
      <c r="U25" s="75">
        <f t="shared" si="1"/>
        <v>2610</v>
      </c>
      <c r="V25" s="16"/>
      <c r="W25" s="16"/>
      <c r="X25" s="16"/>
      <c r="Y25" s="16"/>
      <c r="Z25" s="16"/>
      <c r="AA25" s="16"/>
      <c r="AB25" s="16"/>
      <c r="AC25" s="16"/>
      <c r="AD25" s="16"/>
    </row>
    <row r="26">
      <c r="A26" s="81" t="s">
        <v>94</v>
      </c>
      <c r="B26" s="68" t="s">
        <v>29</v>
      </c>
      <c r="C26" s="69">
        <v>19.0</v>
      </c>
      <c r="D26" s="71">
        <v>25.0</v>
      </c>
      <c r="E26" s="71">
        <v>5.0</v>
      </c>
      <c r="F26" s="71">
        <v>2.0</v>
      </c>
      <c r="G26" s="71">
        <v>4.0</v>
      </c>
      <c r="H26" s="71">
        <v>0.0</v>
      </c>
      <c r="I26" s="72">
        <v>1.0</v>
      </c>
      <c r="J26" s="69">
        <v>0.0</v>
      </c>
      <c r="K26" s="72">
        <v>0.0</v>
      </c>
      <c r="L26" s="69">
        <v>1.0</v>
      </c>
      <c r="M26" s="71">
        <v>0.0</v>
      </c>
      <c r="N26" s="71">
        <v>0.0</v>
      </c>
      <c r="O26" s="71">
        <v>1.0</v>
      </c>
      <c r="P26" s="47">
        <v>0.0</v>
      </c>
      <c r="Q26" s="69">
        <v>10.0</v>
      </c>
      <c r="R26" s="71">
        <v>5.0</v>
      </c>
      <c r="S26" s="74">
        <v>5.0</v>
      </c>
      <c r="T26" s="72">
        <v>27.0</v>
      </c>
      <c r="U26" s="75">
        <f t="shared" si="1"/>
        <v>2535</v>
      </c>
      <c r="V26" s="16"/>
      <c r="W26" s="16"/>
      <c r="X26" s="16"/>
      <c r="Y26" s="16"/>
      <c r="Z26" s="16"/>
      <c r="AA26" s="16"/>
      <c r="AB26" s="16"/>
      <c r="AC26" s="16"/>
      <c r="AD26" s="16"/>
    </row>
    <row r="27">
      <c r="A27" s="81" t="s">
        <v>96</v>
      </c>
      <c r="B27" s="83" t="s">
        <v>29</v>
      </c>
      <c r="C27" s="69">
        <v>19.0</v>
      </c>
      <c r="D27" s="71">
        <v>30.0</v>
      </c>
      <c r="E27" s="71">
        <v>2.0</v>
      </c>
      <c r="F27" s="71">
        <v>0.0</v>
      </c>
      <c r="G27" s="71">
        <v>2.0</v>
      </c>
      <c r="H27" s="71">
        <v>0.0</v>
      </c>
      <c r="I27" s="72">
        <v>12.0</v>
      </c>
      <c r="J27" s="69">
        <v>0.0</v>
      </c>
      <c r="K27" s="72">
        <v>0.0</v>
      </c>
      <c r="L27" s="69">
        <v>2.0</v>
      </c>
      <c r="M27" s="71">
        <v>0.0</v>
      </c>
      <c r="N27" s="71">
        <v>0.0</v>
      </c>
      <c r="O27" s="71">
        <v>1.0</v>
      </c>
      <c r="P27" s="47">
        <v>0.0</v>
      </c>
      <c r="Q27" s="69">
        <v>12.0</v>
      </c>
      <c r="R27" s="71">
        <v>4.0</v>
      </c>
      <c r="S27" s="74">
        <v>8.0</v>
      </c>
      <c r="T27" s="72">
        <v>27.0</v>
      </c>
      <c r="U27" s="75">
        <f t="shared" si="1"/>
        <v>2520</v>
      </c>
      <c r="V27" s="16"/>
      <c r="W27" s="16"/>
      <c r="X27" s="16"/>
      <c r="Y27" s="16"/>
      <c r="Z27" s="16"/>
      <c r="AA27" s="16"/>
      <c r="AB27" s="16"/>
      <c r="AC27" s="16"/>
      <c r="AD27" s="16"/>
    </row>
    <row r="28">
      <c r="A28" s="81" t="s">
        <v>97</v>
      </c>
      <c r="B28" s="68" t="s">
        <v>29</v>
      </c>
      <c r="C28" s="69">
        <v>17.0</v>
      </c>
      <c r="D28" s="71">
        <v>26.0</v>
      </c>
      <c r="E28" s="71">
        <v>6.0</v>
      </c>
      <c r="F28" s="71">
        <v>0.0</v>
      </c>
      <c r="G28" s="71">
        <v>1.0</v>
      </c>
      <c r="H28" s="71">
        <v>0.0</v>
      </c>
      <c r="I28" s="72">
        <v>0.0</v>
      </c>
      <c r="J28" s="69">
        <v>0.0</v>
      </c>
      <c r="K28" s="72">
        <v>1.0</v>
      </c>
      <c r="L28" s="69">
        <v>12.0</v>
      </c>
      <c r="M28" s="71">
        <v>3.0</v>
      </c>
      <c r="N28" s="71">
        <v>0.0</v>
      </c>
      <c r="O28" s="71">
        <v>1.0</v>
      </c>
      <c r="P28" s="47">
        <v>0.0</v>
      </c>
      <c r="Q28" s="69">
        <v>9.0</v>
      </c>
      <c r="R28" s="71">
        <v>7.0</v>
      </c>
      <c r="S28" s="74">
        <v>6.0</v>
      </c>
      <c r="T28" s="72">
        <v>27.0</v>
      </c>
      <c r="U28" s="75">
        <f t="shared" si="1"/>
        <v>2370</v>
      </c>
      <c r="V28" s="16"/>
      <c r="W28" s="16"/>
      <c r="X28" s="16"/>
      <c r="Y28" s="16"/>
      <c r="Z28" s="16"/>
      <c r="AA28" s="16"/>
      <c r="AB28" s="16"/>
      <c r="AC28" s="16"/>
      <c r="AD28" s="16"/>
    </row>
    <row r="29">
      <c r="A29" s="67" t="s">
        <v>98</v>
      </c>
      <c r="B29" s="68" t="s">
        <v>26</v>
      </c>
      <c r="C29" s="69">
        <v>11.0</v>
      </c>
      <c r="D29" s="71">
        <v>20.0</v>
      </c>
      <c r="E29" s="71">
        <v>8.0</v>
      </c>
      <c r="F29" s="71">
        <v>0.0</v>
      </c>
      <c r="G29" s="71">
        <v>1.0</v>
      </c>
      <c r="H29" s="71">
        <v>0.0</v>
      </c>
      <c r="I29" s="72">
        <v>0.0</v>
      </c>
      <c r="J29" s="69">
        <v>0.0</v>
      </c>
      <c r="K29" s="72">
        <v>0.0</v>
      </c>
      <c r="L29" s="69">
        <v>4.0</v>
      </c>
      <c r="M29" s="71">
        <v>4.0</v>
      </c>
      <c r="N29" s="71">
        <v>0.0</v>
      </c>
      <c r="O29" s="71">
        <v>0.0</v>
      </c>
      <c r="P29" s="47">
        <v>0.0</v>
      </c>
      <c r="Q29" s="69">
        <v>12.0</v>
      </c>
      <c r="R29" s="71">
        <v>8.0</v>
      </c>
      <c r="S29" s="74">
        <v>5.0</v>
      </c>
      <c r="T29" s="72">
        <v>24.0</v>
      </c>
      <c r="U29" s="75">
        <f t="shared" si="1"/>
        <v>2190</v>
      </c>
      <c r="V29" s="16"/>
      <c r="W29" s="16"/>
      <c r="X29" s="16"/>
      <c r="Y29" s="16"/>
      <c r="Z29" s="16"/>
      <c r="AA29" s="16"/>
      <c r="AB29" s="16"/>
      <c r="AC29" s="16"/>
      <c r="AD29" s="16"/>
    </row>
    <row r="30">
      <c r="A30" s="81" t="s">
        <v>99</v>
      </c>
      <c r="B30" s="83" t="s">
        <v>26</v>
      </c>
      <c r="C30" s="69">
        <v>9.0</v>
      </c>
      <c r="D30" s="71">
        <v>13.0</v>
      </c>
      <c r="E30" s="71">
        <v>0.0</v>
      </c>
      <c r="F30" s="71">
        <v>0.0</v>
      </c>
      <c r="G30" s="71">
        <v>3.0</v>
      </c>
      <c r="H30" s="71">
        <v>0.0</v>
      </c>
      <c r="I30" s="72">
        <v>1.0</v>
      </c>
      <c r="J30" s="69">
        <v>0.0</v>
      </c>
      <c r="K30" s="72">
        <v>0.0</v>
      </c>
      <c r="L30" s="69">
        <v>5.0</v>
      </c>
      <c r="M30" s="71">
        <v>1.0</v>
      </c>
      <c r="N30" s="71">
        <v>2.0</v>
      </c>
      <c r="O30" s="71">
        <v>1.0</v>
      </c>
      <c r="P30" s="47">
        <v>2.0</v>
      </c>
      <c r="Q30" s="69">
        <v>6.0</v>
      </c>
      <c r="R30" s="71">
        <v>5.0</v>
      </c>
      <c r="S30" s="74">
        <v>5.0</v>
      </c>
      <c r="T30" s="72">
        <v>24.0</v>
      </c>
      <c r="U30" s="75">
        <f t="shared" si="1"/>
        <v>1905</v>
      </c>
      <c r="V30" s="16"/>
      <c r="W30" s="16"/>
      <c r="X30" s="16"/>
      <c r="Y30" s="16"/>
      <c r="Z30" s="16"/>
      <c r="AA30" s="16"/>
      <c r="AB30" s="16"/>
      <c r="AC30" s="16"/>
      <c r="AD30" s="16"/>
    </row>
    <row r="31">
      <c r="A31" s="81" t="s">
        <v>100</v>
      </c>
      <c r="B31" s="68" t="s">
        <v>29</v>
      </c>
      <c r="C31" s="69">
        <v>8.0</v>
      </c>
      <c r="D31" s="71">
        <v>7.0</v>
      </c>
      <c r="E31" s="71">
        <v>3.0</v>
      </c>
      <c r="F31" s="71">
        <v>1.0</v>
      </c>
      <c r="G31" s="71">
        <v>1.0</v>
      </c>
      <c r="H31" s="71">
        <v>0.0</v>
      </c>
      <c r="I31" s="72">
        <v>2.0</v>
      </c>
      <c r="J31" s="69">
        <v>0.0</v>
      </c>
      <c r="K31" s="72">
        <v>0.0</v>
      </c>
      <c r="L31" s="69">
        <v>1.0</v>
      </c>
      <c r="M31" s="71">
        <v>1.0</v>
      </c>
      <c r="N31" s="71">
        <v>1.0</v>
      </c>
      <c r="O31" s="71">
        <v>0.0</v>
      </c>
      <c r="P31" s="47">
        <v>0.0</v>
      </c>
      <c r="Q31" s="69">
        <v>4.0</v>
      </c>
      <c r="R31" s="71">
        <v>2.0</v>
      </c>
      <c r="S31" s="74">
        <v>2.0</v>
      </c>
      <c r="T31" s="72">
        <v>27.0</v>
      </c>
      <c r="U31" s="75">
        <f t="shared" si="1"/>
        <v>1770</v>
      </c>
      <c r="V31" s="16"/>
      <c r="W31" s="16"/>
      <c r="X31" s="16"/>
      <c r="Y31" s="16"/>
      <c r="Z31" s="16"/>
      <c r="AA31" s="16"/>
      <c r="AB31" s="16"/>
      <c r="AC31" s="16"/>
      <c r="AD31" s="16"/>
    </row>
    <row r="32">
      <c r="A32" s="84" t="s">
        <v>101</v>
      </c>
      <c r="B32" s="68" t="s">
        <v>29</v>
      </c>
      <c r="C32" s="69">
        <v>6.0</v>
      </c>
      <c r="D32" s="71">
        <v>5.0</v>
      </c>
      <c r="E32" s="71">
        <v>3.0</v>
      </c>
      <c r="F32" s="71">
        <v>1.0</v>
      </c>
      <c r="G32" s="71">
        <v>3.0</v>
      </c>
      <c r="H32" s="71">
        <v>0.0</v>
      </c>
      <c r="I32" s="72">
        <v>1.0</v>
      </c>
      <c r="J32" s="69">
        <v>0.0</v>
      </c>
      <c r="K32" s="72">
        <v>0.0</v>
      </c>
      <c r="L32" s="69">
        <v>2.0</v>
      </c>
      <c r="M32" s="71">
        <v>3.0</v>
      </c>
      <c r="N32" s="71">
        <v>0.0</v>
      </c>
      <c r="O32" s="71">
        <v>0.0</v>
      </c>
      <c r="P32" s="47">
        <v>0.0</v>
      </c>
      <c r="Q32" s="69">
        <v>4.0</v>
      </c>
      <c r="R32" s="71">
        <v>2.0</v>
      </c>
      <c r="S32" s="74">
        <v>5.0</v>
      </c>
      <c r="T32" s="72">
        <v>27.0</v>
      </c>
      <c r="U32" s="75">
        <f t="shared" si="1"/>
        <v>1755</v>
      </c>
      <c r="V32" s="16"/>
      <c r="W32" s="16"/>
      <c r="X32" s="16"/>
      <c r="Y32" s="16"/>
      <c r="Z32" s="16"/>
      <c r="AA32" s="16"/>
      <c r="AB32" s="16"/>
      <c r="AC32" s="16"/>
      <c r="AD32" s="16"/>
    </row>
    <row r="33">
      <c r="A33" s="76" t="s">
        <v>102</v>
      </c>
      <c r="B33" s="68" t="s">
        <v>26</v>
      </c>
      <c r="C33" s="69">
        <v>12.0</v>
      </c>
      <c r="D33" s="71">
        <v>9.0</v>
      </c>
      <c r="E33" s="71">
        <v>3.0</v>
      </c>
      <c r="F33" s="71">
        <v>0.0</v>
      </c>
      <c r="G33" s="71">
        <v>0.0</v>
      </c>
      <c r="H33" s="71">
        <v>0.0</v>
      </c>
      <c r="I33" s="72">
        <v>0.0</v>
      </c>
      <c r="J33" s="69">
        <v>0.0</v>
      </c>
      <c r="K33" s="72">
        <v>0.0</v>
      </c>
      <c r="L33" s="69">
        <v>0.0</v>
      </c>
      <c r="M33" s="71">
        <v>0.0</v>
      </c>
      <c r="N33" s="71">
        <v>0.0</v>
      </c>
      <c r="O33" s="71">
        <v>0.0</v>
      </c>
      <c r="P33" s="47">
        <v>0.0</v>
      </c>
      <c r="Q33" s="69">
        <v>2.0</v>
      </c>
      <c r="R33" s="71">
        <v>4.0</v>
      </c>
      <c r="S33" s="74">
        <v>2.0</v>
      </c>
      <c r="T33" s="72">
        <v>23.0</v>
      </c>
      <c r="U33" s="75">
        <f t="shared" si="1"/>
        <v>1740</v>
      </c>
      <c r="V33" s="16"/>
      <c r="W33" s="16"/>
      <c r="X33" s="16"/>
      <c r="Y33" s="16"/>
      <c r="Z33" s="16"/>
      <c r="AA33" s="16"/>
      <c r="AB33" s="16"/>
      <c r="AC33" s="16"/>
      <c r="AD33" s="16"/>
    </row>
    <row r="34">
      <c r="A34" s="84" t="s">
        <v>103</v>
      </c>
      <c r="B34" s="68" t="s">
        <v>29</v>
      </c>
      <c r="C34" s="69">
        <v>4.0</v>
      </c>
      <c r="D34" s="71">
        <v>12.0</v>
      </c>
      <c r="E34" s="71">
        <v>4.0</v>
      </c>
      <c r="F34" s="71">
        <v>0.0</v>
      </c>
      <c r="G34" s="71">
        <v>4.0</v>
      </c>
      <c r="H34" s="71">
        <v>0.0</v>
      </c>
      <c r="I34" s="72">
        <v>1.0</v>
      </c>
      <c r="J34" s="69">
        <v>0.0</v>
      </c>
      <c r="K34" s="72">
        <v>0.0</v>
      </c>
      <c r="L34" s="69">
        <v>2.0</v>
      </c>
      <c r="M34" s="71">
        <v>9.0</v>
      </c>
      <c r="N34" s="71">
        <v>0.0</v>
      </c>
      <c r="O34" s="71">
        <v>0.0</v>
      </c>
      <c r="P34" s="47">
        <v>0.0</v>
      </c>
      <c r="Q34" s="69">
        <v>8.0</v>
      </c>
      <c r="R34" s="71">
        <v>3.0</v>
      </c>
      <c r="S34" s="74">
        <v>4.0</v>
      </c>
      <c r="T34" s="72">
        <v>27.0</v>
      </c>
      <c r="U34" s="75">
        <f t="shared" si="1"/>
        <v>1635</v>
      </c>
      <c r="V34" s="16"/>
      <c r="W34" s="16"/>
      <c r="X34" s="16"/>
      <c r="Y34" s="16"/>
      <c r="Z34" s="16"/>
      <c r="AA34" s="16"/>
      <c r="AB34" s="16"/>
      <c r="AC34" s="16"/>
      <c r="AD34" s="16"/>
    </row>
    <row r="35">
      <c r="A35" s="81" t="s">
        <v>104</v>
      </c>
      <c r="B35" s="83" t="s">
        <v>26</v>
      </c>
      <c r="C35" s="69">
        <v>8.0</v>
      </c>
      <c r="D35" s="71">
        <v>12.0</v>
      </c>
      <c r="E35" s="71">
        <v>2.0</v>
      </c>
      <c r="F35" s="71">
        <v>0.0</v>
      </c>
      <c r="G35" s="71">
        <v>0.0</v>
      </c>
      <c r="H35" s="71">
        <v>0.0</v>
      </c>
      <c r="I35" s="72">
        <v>1.0</v>
      </c>
      <c r="J35" s="69">
        <v>0.0</v>
      </c>
      <c r="K35" s="72">
        <v>0.0</v>
      </c>
      <c r="L35" s="69">
        <v>1.0</v>
      </c>
      <c r="M35" s="71">
        <v>1.0</v>
      </c>
      <c r="N35" s="71">
        <v>0.0</v>
      </c>
      <c r="O35" s="71">
        <v>1.0</v>
      </c>
      <c r="P35" s="47">
        <v>0.0</v>
      </c>
      <c r="Q35" s="69">
        <v>1.0</v>
      </c>
      <c r="R35" s="71">
        <v>0.0</v>
      </c>
      <c r="S35" s="74">
        <v>6.0</v>
      </c>
      <c r="T35" s="72">
        <v>23.0</v>
      </c>
      <c r="U35" s="75">
        <f t="shared" si="1"/>
        <v>1275</v>
      </c>
      <c r="V35" s="16"/>
      <c r="W35" s="16"/>
      <c r="X35" s="16"/>
      <c r="Y35" s="16"/>
      <c r="Z35" s="16"/>
      <c r="AA35" s="16"/>
      <c r="AB35" s="16"/>
      <c r="AC35" s="16"/>
      <c r="AD35" s="16"/>
    </row>
    <row r="36">
      <c r="A36" s="67" t="s">
        <v>105</v>
      </c>
      <c r="B36" s="83" t="s">
        <v>29</v>
      </c>
      <c r="C36" s="69">
        <v>3.0</v>
      </c>
      <c r="D36" s="71">
        <v>7.0</v>
      </c>
      <c r="E36" s="71">
        <v>0.0</v>
      </c>
      <c r="F36" s="71">
        <v>0.0</v>
      </c>
      <c r="G36" s="71">
        <v>0.0</v>
      </c>
      <c r="H36" s="71">
        <v>0.0</v>
      </c>
      <c r="I36" s="72">
        <v>0.0</v>
      </c>
      <c r="J36" s="69">
        <v>0.0</v>
      </c>
      <c r="K36" s="72">
        <v>0.0</v>
      </c>
      <c r="L36" s="69">
        <v>0.0</v>
      </c>
      <c r="M36" s="71">
        <v>0.0</v>
      </c>
      <c r="N36" s="71">
        <v>0.0</v>
      </c>
      <c r="O36" s="71">
        <v>0.0</v>
      </c>
      <c r="P36" s="47">
        <v>0.0</v>
      </c>
      <c r="Q36" s="69">
        <v>2.0</v>
      </c>
      <c r="R36" s="71">
        <v>2.0</v>
      </c>
      <c r="S36" s="74">
        <v>1.0</v>
      </c>
      <c r="T36" s="72">
        <v>25.0</v>
      </c>
      <c r="U36" s="75">
        <f t="shared" si="1"/>
        <v>915</v>
      </c>
      <c r="V36" s="16"/>
      <c r="W36" s="16"/>
      <c r="X36" s="16"/>
      <c r="Y36" s="16"/>
      <c r="Z36" s="16"/>
      <c r="AA36" s="16"/>
      <c r="AB36" s="16"/>
      <c r="AC36" s="16"/>
      <c r="AD36" s="16"/>
    </row>
    <row r="37">
      <c r="A37" s="67" t="s">
        <v>106</v>
      </c>
      <c r="B37" s="83" t="s">
        <v>26</v>
      </c>
      <c r="C37" s="69">
        <v>1.0</v>
      </c>
      <c r="D37" s="71">
        <v>9.0</v>
      </c>
      <c r="E37" s="71">
        <v>0.0</v>
      </c>
      <c r="F37" s="71">
        <v>0.0</v>
      </c>
      <c r="G37" s="71">
        <v>0.0</v>
      </c>
      <c r="H37" s="71">
        <v>0.0</v>
      </c>
      <c r="I37" s="72">
        <v>0.0</v>
      </c>
      <c r="J37" s="69">
        <v>0.0</v>
      </c>
      <c r="K37" s="72">
        <v>0.0</v>
      </c>
      <c r="L37" s="69">
        <v>0.0</v>
      </c>
      <c r="M37" s="71">
        <v>0.0</v>
      </c>
      <c r="N37" s="71">
        <v>0.0</v>
      </c>
      <c r="O37" s="71">
        <v>0.0</v>
      </c>
      <c r="P37" s="47">
        <v>0.0</v>
      </c>
      <c r="Q37" s="69">
        <v>1.0</v>
      </c>
      <c r="R37" s="71">
        <v>1.0</v>
      </c>
      <c r="S37" s="74">
        <v>1.0</v>
      </c>
      <c r="T37" s="72">
        <v>23.0</v>
      </c>
      <c r="U37" s="75">
        <f t="shared" si="1"/>
        <v>585</v>
      </c>
      <c r="V37" s="16"/>
      <c r="W37" s="16"/>
      <c r="X37" s="16"/>
      <c r="Y37" s="16"/>
      <c r="Z37" s="16"/>
      <c r="AA37" s="16"/>
      <c r="AB37" s="16"/>
      <c r="AC37" s="16"/>
      <c r="AD37" s="16"/>
    </row>
    <row r="38">
      <c r="A38" s="99" t="s">
        <v>107</v>
      </c>
      <c r="B38" s="68" t="s">
        <v>26</v>
      </c>
      <c r="C38" s="69">
        <v>1.0</v>
      </c>
      <c r="D38" s="71">
        <v>1.0</v>
      </c>
      <c r="E38" s="71">
        <v>0.0</v>
      </c>
      <c r="F38" s="71">
        <v>0.0</v>
      </c>
      <c r="G38" s="71">
        <v>0.0</v>
      </c>
      <c r="H38" s="71">
        <v>0.0</v>
      </c>
      <c r="I38" s="72">
        <v>0.0</v>
      </c>
      <c r="J38" s="69">
        <v>0.0</v>
      </c>
      <c r="K38" s="72">
        <v>0.0</v>
      </c>
      <c r="L38" s="100">
        <v>0.0</v>
      </c>
      <c r="M38" s="101">
        <v>0.0</v>
      </c>
      <c r="N38" s="101">
        <v>0.0</v>
      </c>
      <c r="O38" s="101">
        <v>2.0</v>
      </c>
      <c r="P38" s="95">
        <v>0.0</v>
      </c>
      <c r="Q38" s="100">
        <v>0.0</v>
      </c>
      <c r="R38" s="101">
        <v>0.0</v>
      </c>
      <c r="S38" s="102">
        <v>1.0</v>
      </c>
      <c r="T38" s="72">
        <v>0.0</v>
      </c>
      <c r="U38" s="75">
        <f t="shared" si="1"/>
        <v>45</v>
      </c>
      <c r="V38" s="16"/>
      <c r="W38" s="16"/>
      <c r="X38" s="16"/>
      <c r="Y38" s="16"/>
      <c r="Z38" s="16"/>
      <c r="AA38" s="16"/>
      <c r="AB38" s="16"/>
      <c r="AC38" s="16"/>
      <c r="AD38" s="16"/>
    </row>
  </sheetData>
  <autoFilter ref="$A$4:$U$38">
    <sortState ref="A4:U38">
      <sortCondition descending="1" ref="U4:U38"/>
      <sortCondition descending="1" ref="G4:G38"/>
      <sortCondition descending="1" ref="B4:B38"/>
      <sortCondition descending="1" ref="O4:O38"/>
      <sortCondition ref="A4:A38"/>
      <sortCondition descending="1" ref="F4:F38"/>
      <sortCondition descending="1" ref="M4:M38"/>
      <sortCondition descending="1" ref="I4:I38"/>
    </sortState>
  </autoFilter>
  <mergeCells count="9">
    <mergeCell ref="A2:B2"/>
    <mergeCell ref="A3:B3"/>
    <mergeCell ref="A1:B1"/>
    <mergeCell ref="C1:K1"/>
    <mergeCell ref="L1:P1"/>
    <mergeCell ref="Q1:T2"/>
    <mergeCell ref="C2:I2"/>
    <mergeCell ref="J2:K2"/>
    <mergeCell ref="L2:O2"/>
  </mergeCells>
  <conditionalFormatting sqref="U5:U38">
    <cfRule type="colorScale" priority="1">
      <colorScale>
        <cfvo type="min"/>
        <cfvo type="percentile" val="50"/>
        <cfvo type="max"/>
        <color rgb="FFEA4335"/>
        <color rgb="FFFFFFFF"/>
        <color rgb="FF34A853"/>
      </colorScale>
    </cfRule>
  </conditionalFormatting>
  <conditionalFormatting sqref="B5:B38">
    <cfRule type="containsText" dxfId="0" priority="2" operator="containsText" text="B">
      <formula>NOT(ISERROR(SEARCH(("B"),(B5))))</formula>
    </cfRule>
  </conditionalFormatting>
  <conditionalFormatting sqref="B5:B38">
    <cfRule type="containsText" dxfId="1" priority="3" operator="containsText" text="R">
      <formula>NOT(ISERROR(SEARCH(("R"),(B5))))</formula>
    </cfRule>
  </conditionalFormatting>
  <printOptions horizontalCentered="1"/>
  <pageMargins bottom="1.0" footer="0.0" header="0.0" left="1.0" right="1.0" top="1.0"/>
  <pageSetup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19.75"/>
    <col customWidth="1" min="2" max="2" width="7.75"/>
    <col customWidth="1" min="3" max="3" width="5.75"/>
    <col customWidth="1" min="4" max="4" width="6.5"/>
    <col customWidth="1" min="5" max="5" width="9.88"/>
    <col customWidth="1" min="6" max="6" width="6.5"/>
    <col customWidth="1" min="7" max="7" width="11.88"/>
    <col customWidth="1" min="8" max="8" width="6.0"/>
    <col customWidth="1" min="9" max="10" width="9.5"/>
    <col customWidth="1" min="11" max="11" width="9.13"/>
    <col customWidth="1" min="12" max="12" width="8.25"/>
    <col customWidth="1" min="13" max="13" width="8.38"/>
    <col customWidth="1" min="14" max="14" width="5.63"/>
    <col customWidth="1" min="15" max="15" width="6.63"/>
    <col customWidth="1" min="16" max="16" width="5.5"/>
    <col customWidth="1" min="17" max="17" width="5.13"/>
    <col customWidth="1" min="18" max="18" width="6.88"/>
    <col customWidth="1" min="19" max="19" width="4.75"/>
    <col customWidth="1" min="20" max="21" width="5.63"/>
    <col customWidth="1" min="22" max="22" width="3.75"/>
    <col customWidth="1" min="23" max="23" width="5.0"/>
    <col customWidth="1" min="24" max="24" width="3.0"/>
    <col customWidth="1" min="25" max="25" width="2.88"/>
    <col customWidth="1" min="26" max="26" width="4.38"/>
  </cols>
  <sheetData>
    <row r="1" ht="21.0" customHeight="1">
      <c r="A1" s="1" t="s">
        <v>0</v>
      </c>
      <c r="B1" s="3"/>
      <c r="C1" s="4" t="s">
        <v>1</v>
      </c>
      <c r="I1" s="4"/>
      <c r="J1" s="7"/>
      <c r="K1" s="8" t="s">
        <v>4</v>
      </c>
      <c r="L1" s="10"/>
      <c r="M1" s="12"/>
      <c r="N1" s="8" t="s">
        <v>5</v>
      </c>
      <c r="O1" s="10"/>
      <c r="P1" s="10"/>
      <c r="Q1" s="12"/>
      <c r="R1" s="14"/>
    </row>
    <row r="2" ht="18.0" customHeight="1">
      <c r="A2" s="15" t="s">
        <v>6</v>
      </c>
      <c r="B2" s="17"/>
      <c r="C2" s="18">
        <v>75.0</v>
      </c>
      <c r="D2" s="19">
        <v>-30.0</v>
      </c>
      <c r="E2" s="20">
        <v>60.0</v>
      </c>
      <c r="F2" s="20">
        <v>90.0</v>
      </c>
      <c r="G2" s="20">
        <v>180.0</v>
      </c>
      <c r="H2" s="19">
        <v>-15.0</v>
      </c>
      <c r="I2" s="22">
        <v>30.0</v>
      </c>
      <c r="J2" s="24">
        <v>-15.0</v>
      </c>
      <c r="K2" s="25">
        <v>180.0</v>
      </c>
      <c r="L2" s="25">
        <v>180.0</v>
      </c>
      <c r="M2" s="26">
        <v>180.0</v>
      </c>
      <c r="N2" s="27">
        <v>60.0</v>
      </c>
      <c r="O2" s="28">
        <v>180.0</v>
      </c>
      <c r="P2" s="25">
        <v>30.0</v>
      </c>
      <c r="Q2" s="26">
        <v>30.0</v>
      </c>
      <c r="R2" s="29"/>
      <c r="S2" s="30"/>
      <c r="T2" s="30"/>
      <c r="U2" s="30"/>
      <c r="V2" s="30"/>
      <c r="W2" s="30"/>
    </row>
    <row r="3">
      <c r="A3" s="31" t="s">
        <v>7</v>
      </c>
      <c r="B3" s="32" t="s">
        <v>8</v>
      </c>
      <c r="C3" s="33" t="s">
        <v>9</v>
      </c>
      <c r="D3" s="33" t="s">
        <v>10</v>
      </c>
      <c r="E3" s="33" t="s">
        <v>11</v>
      </c>
      <c r="F3" s="33" t="s">
        <v>12</v>
      </c>
      <c r="G3" s="33" t="s">
        <v>13</v>
      </c>
      <c r="H3" s="33" t="s">
        <v>14</v>
      </c>
      <c r="I3" s="34" t="s">
        <v>15</v>
      </c>
      <c r="J3" s="36" t="s">
        <v>16</v>
      </c>
      <c r="K3" s="31" t="s">
        <v>17</v>
      </c>
      <c r="L3" s="32" t="s">
        <v>18</v>
      </c>
      <c r="M3" s="38" t="s">
        <v>19</v>
      </c>
      <c r="N3" s="31" t="s">
        <v>20</v>
      </c>
      <c r="O3" s="32" t="s">
        <v>21</v>
      </c>
      <c r="P3" s="32" t="s">
        <v>22</v>
      </c>
      <c r="Q3" s="38" t="s">
        <v>23</v>
      </c>
      <c r="R3" s="38" t="s">
        <v>24</v>
      </c>
      <c r="S3" s="30"/>
      <c r="T3" s="30"/>
      <c r="U3" s="30"/>
      <c r="V3" s="30"/>
      <c r="W3" s="30"/>
      <c r="X3" s="30"/>
      <c r="Y3" s="30"/>
      <c r="Z3" s="30"/>
    </row>
    <row r="4">
      <c r="A4" s="42" t="s">
        <v>25</v>
      </c>
      <c r="B4" s="43" t="s">
        <v>26</v>
      </c>
      <c r="C4" s="44">
        <v>45.0</v>
      </c>
      <c r="D4" s="45">
        <v>12.0</v>
      </c>
      <c r="E4" s="45">
        <v>26.0</v>
      </c>
      <c r="F4" s="45">
        <v>0.0</v>
      </c>
      <c r="G4" s="45">
        <v>1.0</v>
      </c>
      <c r="H4" s="45">
        <v>4.0</v>
      </c>
      <c r="I4" s="45">
        <v>0.0</v>
      </c>
      <c r="J4" s="47">
        <v>0.0</v>
      </c>
      <c r="K4" s="48">
        <v>1.0</v>
      </c>
      <c r="L4" s="47">
        <v>0.0</v>
      </c>
      <c r="M4" s="50">
        <v>3.0</v>
      </c>
      <c r="N4" s="48">
        <v>0.0</v>
      </c>
      <c r="O4" s="47">
        <v>0.0</v>
      </c>
      <c r="P4" s="47">
        <v>0.0</v>
      </c>
      <c r="Q4" s="50">
        <v>24.0</v>
      </c>
      <c r="R4" s="56">
        <f t="shared" ref="R4:R7" si="1">C4*$C$2+D4*$D$2+E4*$E$2+F4*$F$2+G4*$G$2+H4*$H$2+K4*$K$2+L4*$L$2+M4*$M$2+N4*$N$2+O4*$O$2+P4*$P$2+Q4*$Q$2+I4*$I$2+J4*$J$2</f>
        <v>6135</v>
      </c>
    </row>
    <row r="5">
      <c r="A5" s="42" t="s">
        <v>28</v>
      </c>
      <c r="B5" s="43" t="s">
        <v>29</v>
      </c>
      <c r="C5" s="44">
        <v>45.0</v>
      </c>
      <c r="D5" s="45">
        <v>13.0</v>
      </c>
      <c r="E5" s="45">
        <v>24.0</v>
      </c>
      <c r="F5" s="45">
        <v>1.0</v>
      </c>
      <c r="G5" s="45">
        <v>1.0</v>
      </c>
      <c r="H5" s="45">
        <v>0.0</v>
      </c>
      <c r="I5" s="45">
        <v>0.0</v>
      </c>
      <c r="J5" s="47">
        <v>0.0</v>
      </c>
      <c r="K5" s="48">
        <v>1.0</v>
      </c>
      <c r="L5" s="47">
        <v>1.0</v>
      </c>
      <c r="M5" s="50">
        <v>0.0</v>
      </c>
      <c r="N5" s="48">
        <v>0.0</v>
      </c>
      <c r="O5" s="47">
        <v>0.0</v>
      </c>
      <c r="P5" s="47">
        <v>1.0</v>
      </c>
      <c r="Q5" s="50">
        <v>26.0</v>
      </c>
      <c r="R5" s="56">
        <f t="shared" si="1"/>
        <v>5865</v>
      </c>
    </row>
    <row r="6">
      <c r="A6" s="62" t="s">
        <v>34</v>
      </c>
      <c r="B6" s="43" t="s">
        <v>29</v>
      </c>
      <c r="C6" s="48">
        <v>44.0</v>
      </c>
      <c r="D6" s="47">
        <v>18.0</v>
      </c>
      <c r="E6" s="47">
        <v>18.0</v>
      </c>
      <c r="F6" s="47">
        <v>2.0</v>
      </c>
      <c r="G6" s="47">
        <v>1.0</v>
      </c>
      <c r="H6" s="45">
        <v>0.0</v>
      </c>
      <c r="I6" s="47">
        <v>1.0</v>
      </c>
      <c r="J6" s="47">
        <v>1.0</v>
      </c>
      <c r="K6" s="48">
        <v>3.0</v>
      </c>
      <c r="L6" s="47">
        <v>1.0</v>
      </c>
      <c r="M6" s="50">
        <v>0.0</v>
      </c>
      <c r="N6" s="48">
        <v>0.0</v>
      </c>
      <c r="O6" s="47">
        <v>0.0</v>
      </c>
      <c r="P6" s="47">
        <v>2.0</v>
      </c>
      <c r="Q6" s="50">
        <v>23.0</v>
      </c>
      <c r="R6" s="56">
        <f t="shared" si="1"/>
        <v>5685</v>
      </c>
    </row>
    <row r="7">
      <c r="A7" s="70" t="s">
        <v>44</v>
      </c>
      <c r="B7" s="47" t="s">
        <v>26</v>
      </c>
      <c r="C7" s="48">
        <v>40.0</v>
      </c>
      <c r="D7" s="47">
        <v>15.0</v>
      </c>
      <c r="E7" s="47">
        <v>25.0</v>
      </c>
      <c r="F7" s="47">
        <v>0.0</v>
      </c>
      <c r="G7" s="47">
        <v>1.0</v>
      </c>
      <c r="H7" s="45">
        <v>1.0</v>
      </c>
      <c r="I7" s="45">
        <v>0.0</v>
      </c>
      <c r="J7" s="47">
        <v>0.0</v>
      </c>
      <c r="K7" s="48">
        <v>1.0</v>
      </c>
      <c r="L7" s="47">
        <v>1.0</v>
      </c>
      <c r="M7" s="50">
        <v>1.0</v>
      </c>
      <c r="N7" s="48">
        <v>0.0</v>
      </c>
      <c r="O7" s="47">
        <v>0.0</v>
      </c>
      <c r="P7" s="47">
        <v>4.0</v>
      </c>
      <c r="Q7" s="50">
        <v>24.0</v>
      </c>
      <c r="R7" s="56">
        <f t="shared" si="1"/>
        <v>5595</v>
      </c>
    </row>
    <row r="8">
      <c r="A8" s="73" t="s">
        <v>45</v>
      </c>
      <c r="B8" s="47" t="s">
        <v>29</v>
      </c>
      <c r="C8" s="48">
        <v>43.0</v>
      </c>
      <c r="D8" s="47">
        <v>20.0</v>
      </c>
      <c r="E8" s="47">
        <v>23.0</v>
      </c>
      <c r="F8" s="47">
        <v>1.0</v>
      </c>
      <c r="G8" s="47">
        <v>0.0</v>
      </c>
      <c r="H8" s="45">
        <v>0.0</v>
      </c>
      <c r="I8" s="45">
        <v>0.0</v>
      </c>
      <c r="J8" s="47">
        <v>0.0</v>
      </c>
      <c r="K8" s="48">
        <v>0.0</v>
      </c>
      <c r="L8" s="47">
        <v>0.0</v>
      </c>
      <c r="M8" s="50">
        <v>0.0</v>
      </c>
      <c r="N8" s="48">
        <v>0.0</v>
      </c>
      <c r="O8" s="47">
        <v>0.0</v>
      </c>
      <c r="P8" s="47">
        <v>2.0</v>
      </c>
      <c r="Q8" s="50">
        <v>27.0</v>
      </c>
      <c r="R8" s="56">
        <f>C8*$C$2+D8*$D$2+E8*$E$2+F8*$F$2+G8*$G$2+H8*$H$2+K8*$K$2+L8*$L$2+M8*$M$2+N8*$N$2+O8*$O$2+P8*$P$2+Q8*$Q$2</f>
        <v>4965</v>
      </c>
    </row>
    <row r="9">
      <c r="A9" s="42" t="s">
        <v>46</v>
      </c>
      <c r="B9" s="47" t="s">
        <v>29</v>
      </c>
      <c r="C9" s="48">
        <v>44.0</v>
      </c>
      <c r="D9" s="47">
        <v>18.0</v>
      </c>
      <c r="E9" s="47">
        <v>13.0</v>
      </c>
      <c r="F9" s="47">
        <v>3.0</v>
      </c>
      <c r="G9" s="47">
        <v>0.0</v>
      </c>
      <c r="H9" s="45">
        <v>3.0</v>
      </c>
      <c r="I9" s="45">
        <v>0.0</v>
      </c>
      <c r="J9" s="47">
        <v>0.0</v>
      </c>
      <c r="K9" s="48">
        <v>1.0</v>
      </c>
      <c r="L9" s="47">
        <v>0.0</v>
      </c>
      <c r="M9" s="50">
        <v>0.0</v>
      </c>
      <c r="N9" s="48">
        <v>0.0</v>
      </c>
      <c r="O9" s="47">
        <v>0.0</v>
      </c>
      <c r="P9" s="47">
        <v>2.0</v>
      </c>
      <c r="Q9" s="50">
        <v>27.0</v>
      </c>
      <c r="R9" s="56">
        <f t="shared" ref="R9:R37" si="2">C9*$C$2+D9*$D$2+E9*$E$2+F9*$F$2+G9*$G$2+H9*$H$2+K9*$K$2+L9*$L$2+M9*$M$2+N9*$N$2+O9*$O$2+P9*$P$2+Q9*$Q$2+I9*$I$2+J9*$J$2</f>
        <v>4815</v>
      </c>
    </row>
    <row r="10">
      <c r="A10" s="42" t="s">
        <v>48</v>
      </c>
      <c r="B10" s="47" t="s">
        <v>29</v>
      </c>
      <c r="C10" s="48">
        <v>33.0</v>
      </c>
      <c r="D10" s="47">
        <v>11.0</v>
      </c>
      <c r="E10" s="47">
        <v>21.0</v>
      </c>
      <c r="F10" s="47">
        <v>1.0</v>
      </c>
      <c r="G10" s="47">
        <v>1.0</v>
      </c>
      <c r="H10" s="45">
        <v>0.0</v>
      </c>
      <c r="I10" s="45">
        <v>0.0</v>
      </c>
      <c r="J10" s="47">
        <v>1.0</v>
      </c>
      <c r="K10" s="48">
        <v>0.0</v>
      </c>
      <c r="L10" s="47">
        <v>0.0</v>
      </c>
      <c r="M10" s="50">
        <v>0.0</v>
      </c>
      <c r="N10" s="48">
        <v>0.0</v>
      </c>
      <c r="O10" s="47">
        <v>0.0</v>
      </c>
      <c r="P10" s="47">
        <v>1.0</v>
      </c>
      <c r="Q10" s="50">
        <v>27.0</v>
      </c>
      <c r="R10" s="56">
        <f t="shared" si="2"/>
        <v>4500</v>
      </c>
    </row>
    <row r="11">
      <c r="A11" s="42" t="s">
        <v>49</v>
      </c>
      <c r="B11" s="47" t="s">
        <v>29</v>
      </c>
      <c r="C11" s="48">
        <v>27.0</v>
      </c>
      <c r="D11" s="47">
        <v>13.0</v>
      </c>
      <c r="E11" s="47">
        <v>21.0</v>
      </c>
      <c r="F11" s="47">
        <v>0.0</v>
      </c>
      <c r="G11" s="47">
        <v>0.0</v>
      </c>
      <c r="H11" s="45">
        <v>0.0</v>
      </c>
      <c r="I11" s="45">
        <v>1.0</v>
      </c>
      <c r="J11" s="47">
        <v>0.0</v>
      </c>
      <c r="K11" s="48">
        <v>1.0</v>
      </c>
      <c r="L11" s="47">
        <v>0.0</v>
      </c>
      <c r="M11" s="50">
        <v>2.0</v>
      </c>
      <c r="N11" s="48">
        <v>0.0</v>
      </c>
      <c r="O11" s="47">
        <v>0.0</v>
      </c>
      <c r="P11" s="47">
        <v>2.0</v>
      </c>
      <c r="Q11" s="50">
        <v>27.0</v>
      </c>
      <c r="R11" s="56">
        <f t="shared" si="2"/>
        <v>4335</v>
      </c>
    </row>
    <row r="12">
      <c r="A12" s="70" t="s">
        <v>51</v>
      </c>
      <c r="B12" s="43" t="s">
        <v>26</v>
      </c>
      <c r="C12" s="48">
        <v>32.0</v>
      </c>
      <c r="D12" s="47">
        <v>13.0</v>
      </c>
      <c r="E12" s="47">
        <v>20.0</v>
      </c>
      <c r="F12" s="47">
        <v>0.0</v>
      </c>
      <c r="G12" s="47">
        <v>0.0</v>
      </c>
      <c r="H12" s="45">
        <v>0.0</v>
      </c>
      <c r="I12" s="47">
        <v>2.0</v>
      </c>
      <c r="J12" s="47">
        <v>0.0</v>
      </c>
      <c r="K12" s="48">
        <v>0.0</v>
      </c>
      <c r="L12" s="47">
        <v>1.0</v>
      </c>
      <c r="M12" s="50">
        <v>0.0</v>
      </c>
      <c r="N12" s="48">
        <v>0.0</v>
      </c>
      <c r="O12" s="47">
        <v>0.0</v>
      </c>
      <c r="P12" s="47">
        <v>0.0</v>
      </c>
      <c r="Q12" s="50">
        <v>24.0</v>
      </c>
      <c r="R12" s="56">
        <f t="shared" si="2"/>
        <v>4170</v>
      </c>
    </row>
    <row r="13">
      <c r="A13" s="70" t="s">
        <v>53</v>
      </c>
      <c r="B13" s="47" t="s">
        <v>26</v>
      </c>
      <c r="C13" s="48">
        <v>26.0</v>
      </c>
      <c r="D13" s="47">
        <v>23.0</v>
      </c>
      <c r="E13" s="47">
        <v>24.0</v>
      </c>
      <c r="F13" s="47">
        <v>0.0</v>
      </c>
      <c r="G13" s="47">
        <v>0.0</v>
      </c>
      <c r="H13" s="45">
        <v>1.0</v>
      </c>
      <c r="I13" s="45">
        <v>0.0</v>
      </c>
      <c r="J13" s="47">
        <v>1.0</v>
      </c>
      <c r="K13" s="48">
        <v>1.0</v>
      </c>
      <c r="L13" s="47">
        <v>0.0</v>
      </c>
      <c r="M13" s="50">
        <v>0.0</v>
      </c>
      <c r="N13" s="48">
        <v>0.0</v>
      </c>
      <c r="O13" s="47">
        <v>0.0</v>
      </c>
      <c r="P13" s="47">
        <v>4.0</v>
      </c>
      <c r="Q13" s="50">
        <v>24.0</v>
      </c>
      <c r="R13" s="56">
        <f t="shared" si="2"/>
        <v>3690</v>
      </c>
    </row>
    <row r="14">
      <c r="A14" s="80" t="s">
        <v>54</v>
      </c>
      <c r="B14" s="47" t="s">
        <v>26</v>
      </c>
      <c r="C14" s="48">
        <v>30.0</v>
      </c>
      <c r="D14" s="47">
        <v>21.0</v>
      </c>
      <c r="E14" s="47">
        <v>19.0</v>
      </c>
      <c r="F14" s="47">
        <v>0.0</v>
      </c>
      <c r="G14" s="47">
        <v>0.0</v>
      </c>
      <c r="H14" s="45">
        <v>1.0</v>
      </c>
      <c r="I14" s="45">
        <v>0.0</v>
      </c>
      <c r="J14" s="47">
        <v>0.0</v>
      </c>
      <c r="K14" s="48">
        <v>0.0</v>
      </c>
      <c r="L14" s="47">
        <v>0.0</v>
      </c>
      <c r="M14" s="50">
        <v>0.0</v>
      </c>
      <c r="N14" s="48">
        <v>0.0</v>
      </c>
      <c r="O14" s="47">
        <v>0.0</v>
      </c>
      <c r="P14" s="47">
        <v>2.0</v>
      </c>
      <c r="Q14" s="50">
        <v>24.0</v>
      </c>
      <c r="R14" s="56">
        <f t="shared" si="2"/>
        <v>3525</v>
      </c>
    </row>
    <row r="15">
      <c r="A15" s="70" t="s">
        <v>56</v>
      </c>
      <c r="B15" s="47" t="s">
        <v>26</v>
      </c>
      <c r="C15" s="48">
        <v>27.0</v>
      </c>
      <c r="D15" s="47">
        <v>14.0</v>
      </c>
      <c r="E15" s="47">
        <v>12.0</v>
      </c>
      <c r="F15" s="47">
        <v>0.0</v>
      </c>
      <c r="G15" s="47">
        <v>2.0</v>
      </c>
      <c r="H15" s="45">
        <v>1.0</v>
      </c>
      <c r="I15" s="47">
        <v>0.0</v>
      </c>
      <c r="J15" s="47">
        <v>0.0</v>
      </c>
      <c r="K15" s="48">
        <v>0.0</v>
      </c>
      <c r="L15" s="47">
        <v>0.0</v>
      </c>
      <c r="M15" s="50">
        <v>0.0</v>
      </c>
      <c r="N15" s="48">
        <v>0.0</v>
      </c>
      <c r="O15" s="47">
        <v>0.0</v>
      </c>
      <c r="P15" s="47">
        <v>2.0</v>
      </c>
      <c r="Q15" s="50">
        <v>24.0</v>
      </c>
      <c r="R15" s="56">
        <f t="shared" si="2"/>
        <v>3450</v>
      </c>
    </row>
    <row r="16">
      <c r="A16" s="42" t="s">
        <v>58</v>
      </c>
      <c r="B16" s="47" t="s">
        <v>26</v>
      </c>
      <c r="C16" s="48">
        <v>23.0</v>
      </c>
      <c r="D16" s="47">
        <v>12.0</v>
      </c>
      <c r="E16" s="47">
        <v>15.0</v>
      </c>
      <c r="F16" s="47">
        <v>1.0</v>
      </c>
      <c r="G16" s="47">
        <v>0.0</v>
      </c>
      <c r="H16" s="45">
        <v>0.0</v>
      </c>
      <c r="I16" s="45">
        <v>0.0</v>
      </c>
      <c r="J16" s="47">
        <v>0.0</v>
      </c>
      <c r="K16" s="48">
        <v>1.0</v>
      </c>
      <c r="L16" s="47">
        <v>1.0</v>
      </c>
      <c r="M16" s="50">
        <v>0.0</v>
      </c>
      <c r="N16" s="48">
        <v>0.0</v>
      </c>
      <c r="O16" s="47">
        <v>0.0</v>
      </c>
      <c r="P16" s="47">
        <v>0.0</v>
      </c>
      <c r="Q16" s="50">
        <v>24.0</v>
      </c>
      <c r="R16" s="56">
        <f t="shared" si="2"/>
        <v>3435</v>
      </c>
    </row>
    <row r="17">
      <c r="A17" s="82" t="s">
        <v>60</v>
      </c>
      <c r="B17" s="43" t="s">
        <v>29</v>
      </c>
      <c r="C17" s="48">
        <v>26.0</v>
      </c>
      <c r="D17" s="47">
        <v>11.0</v>
      </c>
      <c r="E17" s="47">
        <v>7.0</v>
      </c>
      <c r="F17" s="47">
        <v>1.0</v>
      </c>
      <c r="G17" s="47">
        <v>2.0</v>
      </c>
      <c r="H17" s="45">
        <v>2.0</v>
      </c>
      <c r="I17" s="45">
        <v>0.0</v>
      </c>
      <c r="J17" s="47">
        <v>1.0</v>
      </c>
      <c r="K17" s="48">
        <v>0.0</v>
      </c>
      <c r="L17" s="47">
        <v>0.0</v>
      </c>
      <c r="M17" s="50">
        <v>0.0</v>
      </c>
      <c r="N17" s="48">
        <v>0.0</v>
      </c>
      <c r="O17" s="47">
        <v>0.0</v>
      </c>
      <c r="P17" s="47">
        <v>1.0</v>
      </c>
      <c r="Q17" s="50">
        <v>27.0</v>
      </c>
      <c r="R17" s="56">
        <f t="shared" si="2"/>
        <v>3285</v>
      </c>
    </row>
    <row r="18">
      <c r="A18" s="73" t="s">
        <v>62</v>
      </c>
      <c r="B18" s="47" t="s">
        <v>29</v>
      </c>
      <c r="C18" s="48">
        <v>23.0</v>
      </c>
      <c r="D18" s="47">
        <v>12.0</v>
      </c>
      <c r="E18" s="47">
        <v>16.0</v>
      </c>
      <c r="F18" s="47">
        <v>0.0</v>
      </c>
      <c r="G18" s="47">
        <v>0.0</v>
      </c>
      <c r="H18" s="45">
        <v>1.0</v>
      </c>
      <c r="I18" s="47">
        <v>0.0</v>
      </c>
      <c r="J18" s="47">
        <v>0.0</v>
      </c>
      <c r="K18" s="48">
        <v>0.0</v>
      </c>
      <c r="L18" s="47">
        <v>0.0</v>
      </c>
      <c r="M18" s="50">
        <v>0.0</v>
      </c>
      <c r="N18" s="48">
        <v>0.0</v>
      </c>
      <c r="O18" s="47">
        <v>0.0</v>
      </c>
      <c r="P18" s="47">
        <v>1.0</v>
      </c>
      <c r="Q18" s="50">
        <v>27.0</v>
      </c>
      <c r="R18" s="56">
        <f t="shared" si="2"/>
        <v>3150</v>
      </c>
    </row>
    <row r="19">
      <c r="A19" s="73" t="s">
        <v>64</v>
      </c>
      <c r="B19" s="47" t="s">
        <v>26</v>
      </c>
      <c r="C19" s="48">
        <v>25.0</v>
      </c>
      <c r="D19" s="47">
        <v>24.0</v>
      </c>
      <c r="E19" s="47">
        <v>20.0</v>
      </c>
      <c r="F19" s="47">
        <v>0.0</v>
      </c>
      <c r="G19" s="47">
        <v>0.0</v>
      </c>
      <c r="H19" s="45">
        <v>0.0</v>
      </c>
      <c r="I19" s="47">
        <v>1.0</v>
      </c>
      <c r="J19" s="47">
        <v>0.0</v>
      </c>
      <c r="K19" s="48">
        <v>0.0</v>
      </c>
      <c r="L19" s="47">
        <v>0.0</v>
      </c>
      <c r="M19" s="50">
        <v>0.0</v>
      </c>
      <c r="N19" s="48">
        <v>0.0</v>
      </c>
      <c r="O19" s="47">
        <v>0.0</v>
      </c>
      <c r="P19" s="47">
        <v>1.0</v>
      </c>
      <c r="Q19" s="50">
        <v>24.0</v>
      </c>
      <c r="R19" s="56">
        <f t="shared" si="2"/>
        <v>3135</v>
      </c>
    </row>
    <row r="20">
      <c r="A20" s="42" t="s">
        <v>65</v>
      </c>
      <c r="B20" s="47" t="s">
        <v>29</v>
      </c>
      <c r="C20" s="48">
        <v>23.0</v>
      </c>
      <c r="D20" s="47">
        <v>21.0</v>
      </c>
      <c r="E20" s="47">
        <v>12.0</v>
      </c>
      <c r="F20" s="47">
        <v>0.0</v>
      </c>
      <c r="G20" s="47">
        <v>0.0</v>
      </c>
      <c r="H20" s="45">
        <v>0.0</v>
      </c>
      <c r="I20" s="47">
        <v>0.0</v>
      </c>
      <c r="J20" s="47">
        <v>0.0</v>
      </c>
      <c r="K20" s="48">
        <v>0.0</v>
      </c>
      <c r="L20" s="47">
        <v>1.0</v>
      </c>
      <c r="M20" s="50">
        <v>1.0</v>
      </c>
      <c r="N20" s="48">
        <v>0.0</v>
      </c>
      <c r="O20" s="47">
        <v>0.0</v>
      </c>
      <c r="P20" s="47">
        <v>3.0</v>
      </c>
      <c r="Q20" s="50">
        <v>27.0</v>
      </c>
      <c r="R20" s="56">
        <f t="shared" si="2"/>
        <v>3075</v>
      </c>
    </row>
    <row r="21">
      <c r="A21" s="48" t="s">
        <v>67</v>
      </c>
      <c r="B21" s="47" t="s">
        <v>26</v>
      </c>
      <c r="C21" s="48">
        <v>25.0</v>
      </c>
      <c r="D21" s="47">
        <v>26.0</v>
      </c>
      <c r="E21" s="47">
        <v>14.0</v>
      </c>
      <c r="F21" s="47">
        <v>1.0</v>
      </c>
      <c r="G21" s="47">
        <v>0.0</v>
      </c>
      <c r="H21" s="45">
        <v>0.0</v>
      </c>
      <c r="I21" s="45">
        <v>0.0</v>
      </c>
      <c r="J21" s="47">
        <v>0.0</v>
      </c>
      <c r="K21" s="48">
        <v>0.0</v>
      </c>
      <c r="L21" s="47">
        <v>1.0</v>
      </c>
      <c r="M21" s="50">
        <v>0.0</v>
      </c>
      <c r="N21" s="48">
        <v>0.0</v>
      </c>
      <c r="O21" s="47">
        <v>0.0</v>
      </c>
      <c r="P21" s="47">
        <v>3.0</v>
      </c>
      <c r="Q21" s="50">
        <v>24.0</v>
      </c>
      <c r="R21" s="56">
        <f t="shared" si="2"/>
        <v>3015</v>
      </c>
    </row>
    <row r="22">
      <c r="A22" s="70" t="s">
        <v>68</v>
      </c>
      <c r="B22" s="47" t="s">
        <v>26</v>
      </c>
      <c r="C22" s="48">
        <v>31.0</v>
      </c>
      <c r="D22" s="47">
        <v>24.0</v>
      </c>
      <c r="E22" s="47">
        <v>11.0</v>
      </c>
      <c r="F22" s="47">
        <v>0.0</v>
      </c>
      <c r="G22" s="47">
        <v>0.0</v>
      </c>
      <c r="H22" s="45">
        <v>1.0</v>
      </c>
      <c r="I22" s="45">
        <v>1.0</v>
      </c>
      <c r="J22" s="47">
        <v>0.0</v>
      </c>
      <c r="K22" s="48">
        <v>0.0</v>
      </c>
      <c r="L22" s="47">
        <v>0.0</v>
      </c>
      <c r="M22" s="50">
        <v>0.0</v>
      </c>
      <c r="N22" s="48">
        <v>0.0</v>
      </c>
      <c r="O22" s="47">
        <v>0.0</v>
      </c>
      <c r="P22" s="47">
        <v>0.0</v>
      </c>
      <c r="Q22" s="50">
        <v>24.0</v>
      </c>
      <c r="R22" s="56">
        <f t="shared" si="2"/>
        <v>3000</v>
      </c>
    </row>
    <row r="23">
      <c r="A23" s="42" t="s">
        <v>70</v>
      </c>
      <c r="B23" s="47" t="s">
        <v>29</v>
      </c>
      <c r="C23" s="48">
        <v>25.0</v>
      </c>
      <c r="D23" s="47">
        <v>28.0</v>
      </c>
      <c r="E23" s="47">
        <v>18.0</v>
      </c>
      <c r="F23" s="47">
        <v>0.0</v>
      </c>
      <c r="G23" s="47">
        <v>0.0</v>
      </c>
      <c r="H23" s="45">
        <v>1.0</v>
      </c>
      <c r="I23" s="45">
        <v>0.0</v>
      </c>
      <c r="J23" s="47">
        <v>1.0</v>
      </c>
      <c r="K23" s="48">
        <v>0.0</v>
      </c>
      <c r="L23" s="47">
        <v>0.0</v>
      </c>
      <c r="M23" s="50">
        <v>0.0</v>
      </c>
      <c r="N23" s="48">
        <v>0.0</v>
      </c>
      <c r="O23" s="47">
        <v>0.0</v>
      </c>
      <c r="P23" s="47">
        <v>2.0</v>
      </c>
      <c r="Q23" s="50">
        <v>27.0</v>
      </c>
      <c r="R23" s="56">
        <f t="shared" si="2"/>
        <v>2955</v>
      </c>
    </row>
    <row r="24">
      <c r="A24" s="42" t="s">
        <v>71</v>
      </c>
      <c r="B24" s="43" t="s">
        <v>26</v>
      </c>
      <c r="C24" s="48">
        <v>23.0</v>
      </c>
      <c r="D24" s="47">
        <v>23.0</v>
      </c>
      <c r="E24" s="47">
        <v>9.0</v>
      </c>
      <c r="F24" s="47">
        <v>0.0</v>
      </c>
      <c r="G24" s="47">
        <v>0.0</v>
      </c>
      <c r="H24" s="45">
        <v>0.0</v>
      </c>
      <c r="I24" s="47">
        <v>0.0</v>
      </c>
      <c r="J24" s="47">
        <v>0.0</v>
      </c>
      <c r="K24" s="48">
        <v>0.0</v>
      </c>
      <c r="L24" s="47">
        <v>1.0</v>
      </c>
      <c r="M24" s="50">
        <v>0.0</v>
      </c>
      <c r="N24" s="48">
        <v>0.0</v>
      </c>
      <c r="O24" s="47">
        <v>0.0</v>
      </c>
      <c r="P24" s="47">
        <v>4.0</v>
      </c>
      <c r="Q24" s="50">
        <v>24.0</v>
      </c>
      <c r="R24" s="56">
        <f t="shared" si="2"/>
        <v>2595</v>
      </c>
    </row>
    <row r="25">
      <c r="A25" s="70" t="s">
        <v>73</v>
      </c>
      <c r="B25" s="47" t="s">
        <v>26</v>
      </c>
      <c r="C25" s="48">
        <v>22.0</v>
      </c>
      <c r="D25" s="47">
        <v>14.0</v>
      </c>
      <c r="E25" s="47">
        <v>9.0</v>
      </c>
      <c r="F25" s="47">
        <v>0.0</v>
      </c>
      <c r="G25" s="47">
        <v>0.0</v>
      </c>
      <c r="H25" s="45">
        <v>1.0</v>
      </c>
      <c r="I25" s="47">
        <v>0.0</v>
      </c>
      <c r="J25" s="47">
        <v>0.0</v>
      </c>
      <c r="K25" s="48">
        <v>0.0</v>
      </c>
      <c r="L25" s="47">
        <v>0.0</v>
      </c>
      <c r="M25" s="50">
        <v>0.0</v>
      </c>
      <c r="N25" s="48">
        <v>0.0</v>
      </c>
      <c r="O25" s="47">
        <v>0.0</v>
      </c>
      <c r="P25" s="47">
        <v>1.0</v>
      </c>
      <c r="Q25" s="50">
        <v>24.0</v>
      </c>
      <c r="R25" s="56">
        <f t="shared" si="2"/>
        <v>2505</v>
      </c>
    </row>
    <row r="26">
      <c r="A26" s="62" t="s">
        <v>75</v>
      </c>
      <c r="B26" s="43" t="s">
        <v>26</v>
      </c>
      <c r="C26" s="48">
        <v>22.0</v>
      </c>
      <c r="D26" s="47">
        <v>17.0</v>
      </c>
      <c r="E26" s="47">
        <v>9.0</v>
      </c>
      <c r="F26" s="47">
        <v>0.0</v>
      </c>
      <c r="G26" s="47">
        <v>0.0</v>
      </c>
      <c r="H26" s="45">
        <v>1.0</v>
      </c>
      <c r="I26" s="45">
        <v>0.0</v>
      </c>
      <c r="J26" s="47">
        <v>1.0</v>
      </c>
      <c r="K26" s="48">
        <v>0.0</v>
      </c>
      <c r="L26" s="47">
        <v>0.0</v>
      </c>
      <c r="M26" s="50">
        <v>0.0</v>
      </c>
      <c r="N26" s="48">
        <v>0.0</v>
      </c>
      <c r="O26" s="47">
        <v>0.0</v>
      </c>
      <c r="P26" s="47">
        <v>1.0</v>
      </c>
      <c r="Q26" s="50">
        <v>27.0</v>
      </c>
      <c r="R26" s="56">
        <f t="shared" si="2"/>
        <v>2490</v>
      </c>
    </row>
    <row r="27">
      <c r="A27" s="73" t="s">
        <v>77</v>
      </c>
      <c r="B27" s="47" t="s">
        <v>26</v>
      </c>
      <c r="C27" s="48">
        <v>16.0</v>
      </c>
      <c r="D27" s="47">
        <v>13.0</v>
      </c>
      <c r="E27" s="47">
        <v>8.0</v>
      </c>
      <c r="F27" s="47">
        <v>0.0</v>
      </c>
      <c r="G27" s="47">
        <v>1.0</v>
      </c>
      <c r="H27" s="45">
        <v>0.0</v>
      </c>
      <c r="I27" s="47">
        <v>0.0</v>
      </c>
      <c r="J27" s="47">
        <v>0.0</v>
      </c>
      <c r="K27" s="48">
        <v>1.0</v>
      </c>
      <c r="L27" s="47">
        <v>0.0</v>
      </c>
      <c r="M27" s="50">
        <v>0.0</v>
      </c>
      <c r="N27" s="48">
        <v>0.0</v>
      </c>
      <c r="O27" s="47">
        <v>0.0</v>
      </c>
      <c r="P27" s="47">
        <v>2.0</v>
      </c>
      <c r="Q27" s="50">
        <v>24.0</v>
      </c>
      <c r="R27" s="56">
        <f t="shared" si="2"/>
        <v>2430</v>
      </c>
    </row>
    <row r="28">
      <c r="A28" s="82" t="s">
        <v>79</v>
      </c>
      <c r="B28" s="47" t="s">
        <v>26</v>
      </c>
      <c r="C28" s="48">
        <v>24.0</v>
      </c>
      <c r="D28" s="47">
        <v>32.0</v>
      </c>
      <c r="E28" s="47">
        <v>10.0</v>
      </c>
      <c r="F28" s="47">
        <v>1.0</v>
      </c>
      <c r="G28" s="47">
        <v>0.0</v>
      </c>
      <c r="H28" s="45">
        <v>0.0</v>
      </c>
      <c r="I28" s="47">
        <v>0.0</v>
      </c>
      <c r="J28" s="47">
        <v>0.0</v>
      </c>
      <c r="K28" s="48">
        <v>0.0</v>
      </c>
      <c r="L28" s="47">
        <v>0.0</v>
      </c>
      <c r="M28" s="50">
        <v>0.0</v>
      </c>
      <c r="N28" s="48">
        <v>0.0</v>
      </c>
      <c r="O28" s="47">
        <v>0.0</v>
      </c>
      <c r="P28" s="47">
        <v>1.0</v>
      </c>
      <c r="Q28" s="50">
        <v>24.0</v>
      </c>
      <c r="R28" s="56">
        <f t="shared" si="2"/>
        <v>2280</v>
      </c>
    </row>
    <row r="29">
      <c r="A29" s="42" t="s">
        <v>81</v>
      </c>
      <c r="B29" s="43" t="s">
        <v>29</v>
      </c>
      <c r="C29" s="48">
        <v>11.0</v>
      </c>
      <c r="D29" s="47">
        <v>18.0</v>
      </c>
      <c r="E29" s="47">
        <v>2.0</v>
      </c>
      <c r="F29" s="47">
        <v>0.0</v>
      </c>
      <c r="G29" s="47">
        <v>0.0</v>
      </c>
      <c r="H29" s="45">
        <v>0.0</v>
      </c>
      <c r="I29" s="47">
        <v>0.0</v>
      </c>
      <c r="J29" s="47">
        <v>0.0</v>
      </c>
      <c r="K29" s="48">
        <v>0.0</v>
      </c>
      <c r="L29" s="47">
        <v>0.0</v>
      </c>
      <c r="M29" s="50">
        <v>0.0</v>
      </c>
      <c r="N29" s="48">
        <v>0.0</v>
      </c>
      <c r="O29" s="47">
        <v>0.0</v>
      </c>
      <c r="P29" s="47">
        <v>3.0</v>
      </c>
      <c r="Q29" s="50">
        <v>27.0</v>
      </c>
      <c r="R29" s="56">
        <f t="shared" si="2"/>
        <v>1305</v>
      </c>
    </row>
    <row r="30">
      <c r="A30" s="73" t="s">
        <v>82</v>
      </c>
      <c r="B30" s="43" t="s">
        <v>29</v>
      </c>
      <c r="C30" s="48">
        <v>9.0</v>
      </c>
      <c r="D30" s="47">
        <v>14.0</v>
      </c>
      <c r="E30" s="47">
        <v>2.0</v>
      </c>
      <c r="F30" s="47">
        <v>0.0</v>
      </c>
      <c r="G30" s="47">
        <v>0.0</v>
      </c>
      <c r="H30" s="45">
        <v>1.0</v>
      </c>
      <c r="I30" s="47">
        <v>0.0</v>
      </c>
      <c r="J30" s="47">
        <v>0.0</v>
      </c>
      <c r="K30" s="48">
        <v>0.0</v>
      </c>
      <c r="L30" s="47">
        <v>0.0</v>
      </c>
      <c r="M30" s="50">
        <v>0.0</v>
      </c>
      <c r="N30" s="48">
        <v>0.0</v>
      </c>
      <c r="O30" s="47">
        <v>0.0</v>
      </c>
      <c r="P30" s="47">
        <v>2.0</v>
      </c>
      <c r="Q30" s="50">
        <v>27.0</v>
      </c>
      <c r="R30" s="56">
        <f t="shared" si="2"/>
        <v>1230</v>
      </c>
    </row>
    <row r="31">
      <c r="A31" s="42" t="s">
        <v>84</v>
      </c>
      <c r="B31" s="43" t="s">
        <v>29</v>
      </c>
      <c r="C31" s="48">
        <v>2.0</v>
      </c>
      <c r="D31" s="47">
        <v>1.0</v>
      </c>
      <c r="E31" s="47">
        <v>0.0</v>
      </c>
      <c r="F31" s="47">
        <v>0.0</v>
      </c>
      <c r="G31" s="47">
        <v>0.0</v>
      </c>
      <c r="H31" s="45">
        <v>0.0</v>
      </c>
      <c r="I31" s="45">
        <v>0.0</v>
      </c>
      <c r="J31" s="47">
        <v>0.0</v>
      </c>
      <c r="K31" s="48">
        <v>0.0</v>
      </c>
      <c r="L31" s="47">
        <v>0.0</v>
      </c>
      <c r="M31" s="50">
        <v>0.0</v>
      </c>
      <c r="N31" s="48">
        <v>0.0</v>
      </c>
      <c r="O31" s="47">
        <v>0.0</v>
      </c>
      <c r="P31" s="47">
        <v>0.0</v>
      </c>
      <c r="Q31" s="50">
        <v>26.0</v>
      </c>
      <c r="R31" s="56">
        <f t="shared" si="2"/>
        <v>900</v>
      </c>
    </row>
    <row r="32">
      <c r="A32" s="85" t="s">
        <v>86</v>
      </c>
      <c r="B32" s="86" t="s">
        <v>26</v>
      </c>
      <c r="C32" s="87">
        <v>9.0</v>
      </c>
      <c r="D32" s="88">
        <v>20.0</v>
      </c>
      <c r="E32" s="88">
        <v>8.0</v>
      </c>
      <c r="F32" s="88">
        <v>0.0</v>
      </c>
      <c r="G32" s="88">
        <v>0.0</v>
      </c>
      <c r="H32" s="45">
        <v>0.0</v>
      </c>
      <c r="I32" s="88">
        <v>0.0</v>
      </c>
      <c r="J32" s="47">
        <v>0.0</v>
      </c>
      <c r="K32" s="87">
        <v>0.0</v>
      </c>
      <c r="L32" s="88">
        <v>0.0</v>
      </c>
      <c r="M32" s="89">
        <v>0.0</v>
      </c>
      <c r="N32" s="87">
        <v>0.0</v>
      </c>
      <c r="O32" s="88">
        <v>0.0</v>
      </c>
      <c r="P32" s="88">
        <v>0.0</v>
      </c>
      <c r="Q32" s="89">
        <v>11.0</v>
      </c>
      <c r="R32" s="56">
        <f t="shared" si="2"/>
        <v>885</v>
      </c>
    </row>
    <row r="33">
      <c r="A33" s="90" t="s">
        <v>88</v>
      </c>
      <c r="B33" s="86" t="s">
        <v>26</v>
      </c>
      <c r="C33" s="87">
        <v>6.0</v>
      </c>
      <c r="D33" s="88">
        <v>4.0</v>
      </c>
      <c r="E33" s="88">
        <v>3.0</v>
      </c>
      <c r="F33" s="88">
        <v>0.0</v>
      </c>
      <c r="G33" s="88">
        <v>0.0</v>
      </c>
      <c r="H33" s="45">
        <v>0.0</v>
      </c>
      <c r="I33" s="47">
        <v>0.0</v>
      </c>
      <c r="J33" s="47">
        <v>0.0</v>
      </c>
      <c r="K33" s="87">
        <v>0.0</v>
      </c>
      <c r="L33" s="88">
        <v>0.0</v>
      </c>
      <c r="M33" s="89">
        <v>1.0</v>
      </c>
      <c r="N33" s="87">
        <v>0.0</v>
      </c>
      <c r="O33" s="88">
        <v>0.0</v>
      </c>
      <c r="P33" s="88">
        <v>1.0</v>
      </c>
      <c r="Q33" s="89">
        <v>2.0</v>
      </c>
      <c r="R33" s="56">
        <f t="shared" si="2"/>
        <v>780</v>
      </c>
    </row>
    <row r="34">
      <c r="A34" s="91" t="s">
        <v>90</v>
      </c>
      <c r="B34" s="86" t="s">
        <v>26</v>
      </c>
      <c r="C34" s="87">
        <v>0.0</v>
      </c>
      <c r="D34" s="88">
        <v>0.0</v>
      </c>
      <c r="E34" s="88">
        <v>0.0</v>
      </c>
      <c r="F34" s="88">
        <v>0.0</v>
      </c>
      <c r="G34" s="88">
        <v>0.0</v>
      </c>
      <c r="H34" s="45">
        <v>0.0</v>
      </c>
      <c r="I34" s="45">
        <v>0.0</v>
      </c>
      <c r="J34" s="88">
        <v>0.0</v>
      </c>
      <c r="K34" s="87">
        <v>0.0</v>
      </c>
      <c r="L34" s="88">
        <v>0.0</v>
      </c>
      <c r="M34" s="89">
        <v>0.0</v>
      </c>
      <c r="N34" s="87">
        <v>0.0</v>
      </c>
      <c r="O34" s="88">
        <v>0.0</v>
      </c>
      <c r="P34" s="88">
        <v>0.0</v>
      </c>
      <c r="Q34" s="89">
        <v>22.0</v>
      </c>
      <c r="R34" s="56">
        <f t="shared" si="2"/>
        <v>660</v>
      </c>
    </row>
    <row r="35">
      <c r="A35" s="85" t="s">
        <v>91</v>
      </c>
      <c r="B35" s="86" t="s">
        <v>26</v>
      </c>
      <c r="C35" s="87">
        <v>2.0</v>
      </c>
      <c r="D35" s="88">
        <v>1.0</v>
      </c>
      <c r="E35" s="88">
        <v>3.0</v>
      </c>
      <c r="F35" s="88">
        <v>0.0</v>
      </c>
      <c r="G35" s="88">
        <v>0.0</v>
      </c>
      <c r="H35" s="45">
        <v>0.0</v>
      </c>
      <c r="I35" s="45">
        <v>0.0</v>
      </c>
      <c r="J35" s="88">
        <v>0.0</v>
      </c>
      <c r="K35" s="87">
        <v>0.0</v>
      </c>
      <c r="L35" s="88">
        <v>0.0</v>
      </c>
      <c r="M35" s="89">
        <v>1.0</v>
      </c>
      <c r="N35" s="87">
        <v>0.0</v>
      </c>
      <c r="O35" s="88">
        <v>0.0</v>
      </c>
      <c r="P35" s="88">
        <v>1.0</v>
      </c>
      <c r="Q35" s="89">
        <v>0.0</v>
      </c>
      <c r="R35" s="56">
        <f t="shared" si="2"/>
        <v>510</v>
      </c>
    </row>
    <row r="36">
      <c r="A36" s="90" t="s">
        <v>93</v>
      </c>
      <c r="B36" s="86" t="s">
        <v>29</v>
      </c>
      <c r="C36" s="87">
        <v>3.0</v>
      </c>
      <c r="D36" s="88">
        <v>6.0</v>
      </c>
      <c r="E36" s="88">
        <v>1.0</v>
      </c>
      <c r="F36" s="88">
        <v>0.0</v>
      </c>
      <c r="G36" s="88">
        <v>0.0</v>
      </c>
      <c r="H36" s="45">
        <v>0.0</v>
      </c>
      <c r="I36" s="45">
        <v>0.0</v>
      </c>
      <c r="J36" s="88">
        <v>0.0</v>
      </c>
      <c r="K36" s="87">
        <v>0.0</v>
      </c>
      <c r="L36" s="88">
        <v>0.0</v>
      </c>
      <c r="M36" s="89">
        <v>0.0</v>
      </c>
      <c r="N36" s="87">
        <v>0.0</v>
      </c>
      <c r="O36" s="88">
        <v>0.0</v>
      </c>
      <c r="P36" s="88">
        <v>1.0</v>
      </c>
      <c r="Q36" s="89">
        <v>5.0</v>
      </c>
      <c r="R36" s="56">
        <f t="shared" si="2"/>
        <v>285</v>
      </c>
    </row>
    <row r="37">
      <c r="A37" s="92" t="s">
        <v>95</v>
      </c>
      <c r="B37" s="93" t="s">
        <v>29</v>
      </c>
      <c r="C37" s="94">
        <v>1.0</v>
      </c>
      <c r="D37" s="95">
        <v>1.0</v>
      </c>
      <c r="E37" s="95">
        <v>2.0</v>
      </c>
      <c r="F37" s="95">
        <v>0.0</v>
      </c>
      <c r="G37" s="95">
        <v>0.0</v>
      </c>
      <c r="H37" s="96">
        <v>0.0</v>
      </c>
      <c r="I37" s="96">
        <v>0.0</v>
      </c>
      <c r="J37" s="95">
        <v>0.0</v>
      </c>
      <c r="K37" s="94">
        <v>0.0</v>
      </c>
      <c r="L37" s="95">
        <v>0.0</v>
      </c>
      <c r="M37" s="97">
        <v>0.0</v>
      </c>
      <c r="N37" s="94">
        <v>0.0</v>
      </c>
      <c r="O37" s="95">
        <v>0.0</v>
      </c>
      <c r="P37" s="95">
        <v>0.0</v>
      </c>
      <c r="Q37" s="97">
        <v>2.0</v>
      </c>
      <c r="R37" s="98">
        <f t="shared" si="2"/>
        <v>225</v>
      </c>
    </row>
  </sheetData>
  <autoFilter ref="$A$3:$R$37">
    <sortState ref="A3:R37">
      <sortCondition descending="1" ref="R3:R37"/>
      <sortCondition ref="A3:A37"/>
    </sortState>
  </autoFilter>
  <mergeCells count="5">
    <mergeCell ref="A1:B1"/>
    <mergeCell ref="C1:H1"/>
    <mergeCell ref="K1:M1"/>
    <mergeCell ref="N1:Q1"/>
    <mergeCell ref="A2:B2"/>
  </mergeCells>
  <conditionalFormatting sqref="R4:R37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4:B37">
    <cfRule type="containsText" dxfId="0" priority="2" operator="containsText" text="B">
      <formula>NOT(ISERROR(SEARCH(("B"),(B4))))</formula>
    </cfRule>
  </conditionalFormatting>
  <conditionalFormatting sqref="B4:B37">
    <cfRule type="containsText" dxfId="1" priority="3" operator="containsText" text="R">
      <formula>NOT(ISERROR(SEARCH(("R"),(B4))))</formula>
    </cfRule>
  </conditionalFormatting>
  <printOptions horizontalCentered="1"/>
  <pageMargins bottom="0.75" footer="0.0" header="0.0" left="0.7" right="0.7" top="0.75"/>
  <pageSetup fitToHeight="0" cellComments="atEnd" orientation="landscape" pageOrder="overThenDown"/>
  <drawing r:id="rId1"/>
</worksheet>
</file>